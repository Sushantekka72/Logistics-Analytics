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212fbaeb06797247/Documents/flipkart/"/>
    </mc:Choice>
  </mc:AlternateContent>
  <xr:revisionPtr revIDLastSave="87" documentId="13_ncr:1_{25F4D849-E74F-4862-AAFF-750F75CBB6E0}" xr6:coauthVersionLast="47" xr6:coauthVersionMax="47" xr10:uidLastSave="{B17D9721-0AD8-4C51-A999-B4E2ED7AAC0F}"/>
  <bookViews>
    <workbookView xWindow="28680" yWindow="-120" windowWidth="38640" windowHeight="21120" activeTab="1" xr2:uid="{ACBC30A5-6D29-4A7E-A34D-7E44AD48839E}"/>
  </bookViews>
  <sheets>
    <sheet name="Calculations" sheetId="1" r:id="rId1"/>
    <sheet name="Dashboard" sheetId="2" r:id="rId2"/>
  </sheets>
  <definedNames>
    <definedName name="Slicer_Carrier">#N/A</definedName>
    <definedName name="Timeline_Date">#N/A</definedName>
  </definedNames>
  <calcPr calcId="191029"/>
  <pivotCaches>
    <pivotCache cacheId="998" r:id="rId3"/>
    <pivotCache cacheId="1001" r:id="rId4"/>
    <pivotCache cacheId="1004" r:id="rId5"/>
    <pivotCache cacheId="1007" r:id="rId6"/>
    <pivotCache cacheId="1010" r:id="rId7"/>
    <pivotCache cacheId="1013" r:id="rId8"/>
    <pivotCache cacheId="101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gistics_dataset_cfdd951e-83cb-406d-be27-1aae8b11c1db" name="logistics_dataset" connection="Query - logistics_dataset"/>
          <x15:modelTable id="KPI Measures_0e35509c-d359-407b-ae20-f5ca20fc621e" name="KPI Measures" connection="Query - KPI Measures"/>
          <x15:modelTable id="Calendar" name="Calendar" connection="Connection"/>
        </x15:modelTables>
        <x15:modelRelationships>
          <x15:modelRelationship fromTable="logistics_dataset" fromColumn="Shipment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K7" i="1"/>
  <c r="E4" i="1"/>
  <c r="F4" i="1"/>
  <c r="C4" i="1"/>
  <c r="B4" i="1"/>
  <c r="D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14C8A-F53B-4C78-A526-0327EDAE18A4}" name="Connection" type="104" refreshedVersion="0" background="1">
    <extLst>
      <ext xmlns:x15="http://schemas.microsoft.com/office/spreadsheetml/2010/11/main" uri="{DE250136-89BD-433C-8126-D09CA5730AF9}">
        <x15:connection id="Calendar"/>
      </ext>
    </extLst>
  </connection>
  <connection id="2" xr16:uid="{87EF7241-1997-4053-85F7-482E2DC3FA73}" name="Query - KPI Measures" description="Connection to the 'KPI Measures' query in the workbook." type="100" refreshedVersion="7" minRefreshableVersion="5">
    <extLst>
      <ext xmlns:x15="http://schemas.microsoft.com/office/spreadsheetml/2010/11/main" uri="{DE250136-89BD-433C-8126-D09CA5730AF9}">
        <x15:connection id="41bcc9e0-78d4-4859-8afc-c3b74b8db9b5"/>
      </ext>
    </extLst>
  </connection>
  <connection id="3" xr16:uid="{AB7BC6C6-3559-4A66-95DD-8F5F7B08B215}" name="Query - logistics_dataset" description="Connection to the 'logistics_dataset' query in the workbook." type="100" refreshedVersion="7" minRefreshableVersion="5">
    <extLst>
      <ext xmlns:x15="http://schemas.microsoft.com/office/spreadsheetml/2010/11/main" uri="{DE250136-89BD-433C-8126-D09CA5730AF9}">
        <x15:connection id="d9a2e6e7-1cb5-4138-84e8-aa7633b3fff2"/>
      </ext>
    </extLst>
  </connection>
  <connection id="4" xr16:uid="{1EECAA6A-7A2A-4B84-BD34-C6B0D0A16BC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<sst xmlns="http://schemas.openxmlformats.org/spreadsheetml/2006/main" count="48" uniqueCount="35">
  <si>
    <t>Total Shipment</t>
  </si>
  <si>
    <t>Delivery Count</t>
  </si>
  <si>
    <t>Delivery Rate</t>
  </si>
  <si>
    <t>Avg Cost</t>
  </si>
  <si>
    <t>Avg Transit Day(s)</t>
  </si>
  <si>
    <t>Avg Miles Traveled</t>
  </si>
  <si>
    <t>Avg Weight(kg)</t>
  </si>
  <si>
    <t>Main KPIs</t>
  </si>
  <si>
    <t>Shipment and Delivery Count by Month</t>
  </si>
  <si>
    <t>Row Labels</t>
  </si>
  <si>
    <t>Jan</t>
  </si>
  <si>
    <t>Feb</t>
  </si>
  <si>
    <t>Mar</t>
  </si>
  <si>
    <t>Apr</t>
  </si>
  <si>
    <t>May</t>
  </si>
  <si>
    <t>Jun</t>
  </si>
  <si>
    <t>Jul</t>
  </si>
  <si>
    <t>Aug</t>
  </si>
  <si>
    <t>Sep</t>
  </si>
  <si>
    <t>Oct</t>
  </si>
  <si>
    <t>Nov</t>
  </si>
  <si>
    <t>Dec</t>
  </si>
  <si>
    <t>FedEx</t>
  </si>
  <si>
    <t>Avg Carrier Cost</t>
  </si>
  <si>
    <t>Carrier Delivery Rate</t>
  </si>
  <si>
    <t>Carrier Avg Weight (kg)</t>
  </si>
  <si>
    <t>Carrier Avg Delivery Day(s)</t>
  </si>
  <si>
    <t>Top 7  Destination by Delivery Rate</t>
  </si>
  <si>
    <t>Atlanta</t>
  </si>
  <si>
    <t>Denver</t>
  </si>
  <si>
    <t>Miami</t>
  </si>
  <si>
    <t>Phoenix</t>
  </si>
  <si>
    <t>Dallas</t>
  </si>
  <si>
    <t>Seattle</t>
  </si>
  <si>
    <t>Detroit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</si>
</sst>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quot;$&quot;#,##0.00"/>
  </numFmts>
  <fonts count="2" x14ac:knownFonts="1">
    <font>
      <sz val="11"/>
      <color theme="1"/>
      <name val="Calibri"/>
      <family val="2"/>
      <scheme val="minor"/>
    </font>
    <font>
      <sz val="10"/>
      <color theme="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ACAAF5"/>
        <bgColor indexed="64"/>
      </patternFill>
    </fill>
  </fills>
  <borders count="1">
    <border>
      <left/>
      <right/>
      <top/>
      <bottom/>
      <diagonal/>
    </border>
  </borders>
  <cellStyleXfs count="1">
    <xf numFmtId="0" fontId="0" fillId="0" borderId="0"/>
  </cellStyleXfs>
  <cellXfs count="13">
    <xf numFmtId="0" fontId="0" fillId="0" borderId="0" xfId="0"/>
    <xf numFmtId="3" fontId="0" fillId="0" borderId="0" xfId="0" applyNumberFormat="1"/>
    <xf numFmtId="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9" fontId="0" fillId="0" borderId="0" xfId="0" applyNumberFormat="1"/>
    <xf numFmtId="166" fontId="0" fillId="0" borderId="0" xfId="0" applyNumberFormat="1"/>
    <xf numFmtId="0" fontId="0" fillId="3" borderId="0" xfId="0" applyFill="1"/>
    <xf numFmtId="0" fontId="1" fillId="2" borderId="0" xfId="0" applyFont="1" applyFill="1" applyAlignment="1">
      <alignment horizontal="center" vertical="center"/>
    </xf>
  </cellXfs>
  <cellStyles count="1">
    <cellStyle name="Normal" xfId="0" builtinId="0"/>
  </cellStyles>
  <dxfs count="93">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font>
        <sz val="11"/>
        <color theme="0"/>
        <name val="Calibri"/>
        <family val="2"/>
        <scheme val="minor"/>
      </font>
    </dxf>
    <dxf>
      <font>
        <sz val="11"/>
        <color theme="0"/>
        <name val="Segoe UI Semibold"/>
        <family val="2"/>
        <scheme val="none"/>
      </font>
      <fill>
        <patternFill patternType="solid">
          <fgColor theme="0"/>
          <bgColor rgb="FF181A2F"/>
        </patternFill>
      </fill>
      <border diagonalUp="0" diagonalDown="0">
        <left/>
        <right/>
        <top/>
        <bottom/>
        <vertical/>
        <horizontal/>
      </border>
    </dxf>
    <dxf>
      <font>
        <sz val="12"/>
        <color theme="0"/>
        <name val="Segoe UI Semibold"/>
        <family val="2"/>
        <scheme val="none"/>
      </font>
      <fill>
        <patternFill>
          <bgColor rgb="FF181A2F"/>
        </patternFill>
      </fill>
      <border diagonalUp="0" diagonalDown="0">
        <left/>
        <right/>
        <top/>
        <bottom/>
        <vertical/>
        <horizontal/>
      </border>
    </dxf>
  </dxfs>
  <tableStyles count="2" defaultTableStyle="TableStyleMedium2" defaultPivotStyle="PivotStyleLight16">
    <tableStyle name="Slicer Style 1" pivot="0" table="0" count="3" xr9:uid="{0473F84F-75D8-4CED-9AF9-5569511235D4}">
      <tableStyleElement type="wholeTable" dxfId="92"/>
    </tableStyle>
    <tableStyle name="Timeline Style 1" pivot="0" table="0" count="8" xr9:uid="{3FA02D51-CA05-4516-914E-210E38C551BE}">
      <tableStyleElement type="wholeTable" dxfId="91"/>
      <tableStyleElement type="headerRow" dxfId="90"/>
    </tableStyle>
  </tableStyles>
  <colors>
    <mruColors>
      <color rgb="FFACAAF5"/>
      <color rgb="FF181A2F"/>
      <color rgb="FF191A2E"/>
      <color rgb="FF6D71EF"/>
      <color rgb="FF817DD4"/>
    </mruColors>
  </colors>
  <extLst>
    <ext xmlns:x14="http://schemas.microsoft.com/office/spreadsheetml/2009/9/main" uri="{46F421CA-312F-682f-3DD2-61675219B42D}">
      <x14:dxfs count="2">
        <dxf>
          <font>
            <sz val="14"/>
            <name val="Segoe UI Semibold"/>
            <family val="2"/>
            <scheme val="none"/>
          </font>
        </dxf>
        <dxf>
          <font>
            <sz val="12"/>
            <color theme="0"/>
            <name val="Segoe UI Semibold"/>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CAAF5"/>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817DD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Calculations!$C$7</c:f>
              <c:strCache>
                <c:ptCount val="1"/>
                <c:pt idx="0">
                  <c:v>Total Shipment</c:v>
                </c:pt>
              </c:strCache>
            </c:strRef>
          </c:tx>
          <c:spPr>
            <a:ln w="25400" cap="rnd">
              <a:solidFill>
                <a:schemeClr val="bg1"/>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Calculations!$C$8:$C$19</c:f>
              <c:numCache>
                <c:formatCode>#,##0</c:formatCode>
                <c:ptCount val="12"/>
                <c:pt idx="0">
                  <c:v>22</c:v>
                </c:pt>
                <c:pt idx="1">
                  <c:v>15</c:v>
                </c:pt>
                <c:pt idx="2">
                  <c:v>28</c:v>
                </c:pt>
                <c:pt idx="3">
                  <c:v>16</c:v>
                </c:pt>
                <c:pt idx="4">
                  <c:v>34</c:v>
                </c:pt>
                <c:pt idx="5">
                  <c:v>25</c:v>
                </c:pt>
                <c:pt idx="6">
                  <c:v>22</c:v>
                </c:pt>
                <c:pt idx="7">
                  <c:v>28</c:v>
                </c:pt>
                <c:pt idx="8">
                  <c:v>24</c:v>
                </c:pt>
                <c:pt idx="9">
                  <c:v>25</c:v>
                </c:pt>
                <c:pt idx="10">
                  <c:v>28</c:v>
                </c:pt>
                <c:pt idx="11">
                  <c:v>28</c:v>
                </c:pt>
              </c:numCache>
            </c:numRef>
          </c:val>
          <c:smooth val="0"/>
          <c:extLst>
            <c:ext xmlns:c16="http://schemas.microsoft.com/office/drawing/2014/chart" uri="{C3380CC4-5D6E-409C-BE32-E72D297353CC}">
              <c16:uniqueId val="{00000007-B119-43F5-9ACE-DEA787FD27C9}"/>
            </c:ext>
          </c:extLst>
        </c:ser>
        <c:ser>
          <c:idx val="1"/>
          <c:order val="1"/>
          <c:tx>
            <c:strRef>
              <c:f>Calculations!$D$7</c:f>
              <c:strCache>
                <c:ptCount val="1"/>
                <c:pt idx="0">
                  <c:v>Delivery Count</c:v>
                </c:pt>
              </c:strCache>
            </c:strRef>
          </c:tx>
          <c:spPr>
            <a:ln w="25400" cap="rnd">
              <a:solidFill>
                <a:srgbClr val="817DD4"/>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Calculations!$D$8:$D$19</c:f>
              <c:numCache>
                <c:formatCode>0</c:formatCode>
                <c:ptCount val="12"/>
                <c:pt idx="0">
                  <c:v>19</c:v>
                </c:pt>
                <c:pt idx="1">
                  <c:v>13</c:v>
                </c:pt>
                <c:pt idx="2">
                  <c:v>25</c:v>
                </c:pt>
                <c:pt idx="3">
                  <c:v>12</c:v>
                </c:pt>
                <c:pt idx="4">
                  <c:v>29</c:v>
                </c:pt>
                <c:pt idx="5">
                  <c:v>20</c:v>
                </c:pt>
                <c:pt idx="6">
                  <c:v>18</c:v>
                </c:pt>
                <c:pt idx="7">
                  <c:v>24</c:v>
                </c:pt>
                <c:pt idx="8">
                  <c:v>22</c:v>
                </c:pt>
                <c:pt idx="9">
                  <c:v>22</c:v>
                </c:pt>
                <c:pt idx="10">
                  <c:v>20</c:v>
                </c:pt>
                <c:pt idx="11">
                  <c:v>20</c:v>
                </c:pt>
              </c:numCache>
            </c:numRef>
          </c:val>
          <c:smooth val="0"/>
          <c:extLst>
            <c:ext xmlns:c16="http://schemas.microsoft.com/office/drawing/2014/chart" uri="{C3380CC4-5D6E-409C-BE32-E72D297353CC}">
              <c16:uniqueId val="{00000008-B119-43F5-9ACE-DEA787FD27C9}"/>
            </c:ext>
          </c:extLst>
        </c:ser>
        <c:dLbls>
          <c:showLegendKey val="0"/>
          <c:showVal val="0"/>
          <c:showCatName val="0"/>
          <c:showSerName val="0"/>
          <c:showPercent val="0"/>
          <c:showBubbleSize val="0"/>
        </c:dLbls>
        <c:smooth val="0"/>
        <c:axId val="1374899743"/>
        <c:axId val="1374901407"/>
      </c:lineChart>
      <c:catAx>
        <c:axId val="1374899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74901407"/>
        <c:crosses val="autoZero"/>
        <c:auto val="1"/>
        <c:lblAlgn val="ctr"/>
        <c:lblOffset val="100"/>
        <c:noMultiLvlLbl val="0"/>
      </c:catAx>
      <c:valAx>
        <c:axId val="1374901407"/>
        <c:scaling>
          <c:orientation val="minMax"/>
        </c:scaling>
        <c:delete val="1"/>
        <c:axPos val="l"/>
        <c:numFmt formatCode="#,##0" sourceLinked="1"/>
        <c:majorTickMark val="none"/>
        <c:minorTickMark val="none"/>
        <c:tickLblPos val="nextTo"/>
        <c:crossAx val="137489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Youtube.xlsx]Calculations!PivotTable3</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6D71EF"/>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8152936106866"/>
          <c:y val="6.9510268562401265E-2"/>
          <c:w val="0.7358567790966426"/>
          <c:h val="0.86097946287519744"/>
        </c:manualLayout>
      </c:layout>
      <c:barChart>
        <c:barDir val="bar"/>
        <c:grouping val="clustered"/>
        <c:varyColors val="0"/>
        <c:ser>
          <c:idx val="0"/>
          <c:order val="0"/>
          <c:tx>
            <c:strRef>
              <c:f>Calculations!$G$7</c:f>
              <c:strCache>
                <c:ptCount val="1"/>
                <c:pt idx="0">
                  <c:v>Total</c:v>
                </c:pt>
              </c:strCache>
            </c:strRef>
          </c:tx>
          <c:spPr>
            <a:solidFill>
              <a:srgbClr val="6D71E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Calculations!$F$8</c:f>
              <c:strCache>
                <c:ptCount val="1"/>
                <c:pt idx="0">
                  <c:v>FedEx</c:v>
                </c:pt>
              </c:strCache>
            </c:strRef>
          </c:cat>
          <c:val>
            <c:numRef>
              <c:f>Calculations!$G$8</c:f>
              <c:numCache>
                <c:formatCode>"$"#,##0.00</c:formatCode>
                <c:ptCount val="1"/>
                <c:pt idx="0">
                  <c:v>217.89291525423729</c:v>
                </c:pt>
              </c:numCache>
            </c:numRef>
          </c:val>
          <c:extLst>
            <c:ext xmlns:c16="http://schemas.microsoft.com/office/drawing/2014/chart" uri="{C3380CC4-5D6E-409C-BE32-E72D297353CC}">
              <c16:uniqueId val="{00000004-AAEF-4748-80CE-201A0C079779}"/>
            </c:ext>
          </c:extLst>
        </c:ser>
        <c:dLbls>
          <c:dLblPos val="outEnd"/>
          <c:showLegendKey val="0"/>
          <c:showVal val="1"/>
          <c:showCatName val="0"/>
          <c:showSerName val="0"/>
          <c:showPercent val="0"/>
          <c:showBubbleSize val="0"/>
        </c:dLbls>
        <c:gapWidth val="182"/>
        <c:axId val="1374896415"/>
        <c:axId val="1374891839"/>
      </c:barChart>
      <c:catAx>
        <c:axId val="1374896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74891839"/>
        <c:crosses val="autoZero"/>
        <c:auto val="1"/>
        <c:lblAlgn val="ctr"/>
        <c:lblOffset val="100"/>
        <c:noMultiLvlLbl val="0"/>
      </c:catAx>
      <c:valAx>
        <c:axId val="1374891839"/>
        <c:scaling>
          <c:orientation val="minMax"/>
        </c:scaling>
        <c:delete val="1"/>
        <c:axPos val="b"/>
        <c:numFmt formatCode="&quot;$&quot;#,##0.00" sourceLinked="1"/>
        <c:majorTickMark val="none"/>
        <c:minorTickMark val="none"/>
        <c:tickLblPos val="nextTo"/>
        <c:crossAx val="13748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bg1"/>
          </a:solidFill>
          <a:ln w="19050">
            <a:noFill/>
          </a:ln>
          <a:effectLst/>
        </c:spPr>
      </c:pivotFmt>
      <c:pivotFmt>
        <c:idx val="22"/>
        <c:spPr>
          <a:solidFill>
            <a:schemeClr val="bg1"/>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s>
    <c:plotArea>
      <c:layout>
        <c:manualLayout>
          <c:layoutTarget val="inner"/>
          <c:xMode val="edge"/>
          <c:yMode val="edge"/>
          <c:x val="3.6801897224775844E-2"/>
          <c:y val="2.0997369542130589E-2"/>
          <c:w val="0.87225068947599838"/>
          <c:h val="0.90201227547005736"/>
        </c:manualLayout>
      </c:layout>
      <c:doughnutChart>
        <c:varyColors val="1"/>
        <c:ser>
          <c:idx val="0"/>
          <c:order val="0"/>
          <c:tx>
            <c:strRef>
              <c:f>Calculations!$J$7</c:f>
              <c:strCache>
                <c:ptCount val="1"/>
                <c:pt idx="0">
                  <c:v>Total</c:v>
                </c:pt>
              </c:strCache>
            </c:strRef>
          </c:tx>
          <c:spPr>
            <a:solidFill>
              <a:schemeClr val="bg1"/>
            </a:solidFill>
            <a:ln>
              <a:noFill/>
            </a:ln>
          </c:spPr>
          <c:dPt>
            <c:idx val="0"/>
            <c:bubble3D val="0"/>
            <c:spPr>
              <a:solidFill>
                <a:schemeClr val="bg1"/>
              </a:solidFill>
              <a:ln w="19050">
                <a:noFill/>
              </a:ln>
              <a:effectLst/>
            </c:spPr>
          </c:dPt>
          <c:cat>
            <c:strRef>
              <c:f>Calculations!$I$8</c:f>
              <c:strCache>
                <c:ptCount val="1"/>
                <c:pt idx="0">
                  <c:v>FedEx</c:v>
                </c:pt>
              </c:strCache>
            </c:strRef>
          </c:cat>
          <c:val>
            <c:numRef>
              <c:f>Calculations!$J$8</c:f>
              <c:numCache>
                <c:formatCode>0%;\-0%;0%</c:formatCode>
                <c:ptCount val="1"/>
                <c:pt idx="0">
                  <c:v>0.82711864406779656</c:v>
                </c:pt>
              </c:numCache>
            </c:numRef>
          </c:val>
          <c:extLst>
            <c:ext xmlns:c16="http://schemas.microsoft.com/office/drawing/2014/chart" uri="{C3380CC4-5D6E-409C-BE32-E72D297353CC}">
              <c16:uniqueId val="{00000013-EB28-4766-AB41-43B48338638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220227144504"/>
          <c:y val="6.6666666666666671E-3"/>
          <c:w val="0.74768742692210199"/>
          <c:h val="0.99333333333333329"/>
        </c:manualLayout>
      </c:layout>
      <c:barChart>
        <c:barDir val="bar"/>
        <c:grouping val="clustered"/>
        <c:varyColors val="0"/>
        <c:ser>
          <c:idx val="0"/>
          <c:order val="0"/>
          <c:tx>
            <c:strRef>
              <c:f>Calculations!$G$19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Calculations!$F$20</c:f>
              <c:strCache>
                <c:ptCount val="1"/>
                <c:pt idx="0">
                  <c:v>FedEx</c:v>
                </c:pt>
              </c:strCache>
            </c:strRef>
          </c:cat>
          <c:val>
            <c:numRef>
              <c:f>Calculations!$G$20</c:f>
              <c:numCache>
                <c:formatCode>0.00</c:formatCode>
                <c:ptCount val="1"/>
                <c:pt idx="0">
                  <c:v>46.27457627118644</c:v>
                </c:pt>
              </c:numCache>
            </c:numRef>
          </c:val>
          <c:extLst>
            <c:ext xmlns:c16="http://schemas.microsoft.com/office/drawing/2014/chart" uri="{C3380CC4-5D6E-409C-BE32-E72D297353CC}">
              <c16:uniqueId val="{00000004-F79F-4C7F-8879-3FB152278EFC}"/>
            </c:ext>
          </c:extLst>
        </c:ser>
        <c:dLbls>
          <c:dLblPos val="outEnd"/>
          <c:showLegendKey val="0"/>
          <c:showVal val="1"/>
          <c:showCatName val="0"/>
          <c:showSerName val="0"/>
          <c:showPercent val="0"/>
          <c:showBubbleSize val="0"/>
        </c:dLbls>
        <c:gapWidth val="182"/>
        <c:axId val="1448556239"/>
        <c:axId val="1448551663"/>
      </c:barChart>
      <c:catAx>
        <c:axId val="14485562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48551663"/>
        <c:crosses val="autoZero"/>
        <c:auto val="1"/>
        <c:lblAlgn val="ctr"/>
        <c:lblOffset val="100"/>
        <c:noMultiLvlLbl val="0"/>
      </c:catAx>
      <c:valAx>
        <c:axId val="1448551663"/>
        <c:scaling>
          <c:orientation val="minMax"/>
        </c:scaling>
        <c:delete val="1"/>
        <c:axPos val="b"/>
        <c:numFmt formatCode="0.00" sourceLinked="1"/>
        <c:majorTickMark val="none"/>
        <c:minorTickMark val="none"/>
        <c:tickLblPos val="nextTo"/>
        <c:crossAx val="144855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3435448228546"/>
          <c:y val="1.8058686465180388E-2"/>
          <c:w val="0.77408611157647866"/>
          <c:h val="0.91572612982915835"/>
        </c:manualLayout>
      </c:layout>
      <c:barChart>
        <c:barDir val="bar"/>
        <c:grouping val="clustered"/>
        <c:varyColors val="0"/>
        <c:ser>
          <c:idx val="0"/>
          <c:order val="0"/>
          <c:tx>
            <c:strRef>
              <c:f>Calculations!$J$19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Calculations!$I$20</c:f>
              <c:strCache>
                <c:ptCount val="1"/>
                <c:pt idx="0">
                  <c:v>FedEx</c:v>
                </c:pt>
              </c:strCache>
            </c:strRef>
          </c:cat>
          <c:val>
            <c:numRef>
              <c:f>Calculations!$J$20</c:f>
              <c:numCache>
                <c:formatCode>0.0</c:formatCode>
                <c:ptCount val="1"/>
                <c:pt idx="0">
                  <c:v>4.3016949152542372</c:v>
                </c:pt>
              </c:numCache>
            </c:numRef>
          </c:val>
          <c:extLst>
            <c:ext xmlns:c16="http://schemas.microsoft.com/office/drawing/2014/chart" uri="{C3380CC4-5D6E-409C-BE32-E72D297353CC}">
              <c16:uniqueId val="{00000004-83B7-4B4E-B8AA-2287EBCFABA6}"/>
            </c:ext>
          </c:extLst>
        </c:ser>
        <c:dLbls>
          <c:dLblPos val="outEnd"/>
          <c:showLegendKey val="0"/>
          <c:showVal val="1"/>
          <c:showCatName val="0"/>
          <c:showSerName val="0"/>
          <c:showPercent val="0"/>
          <c:showBubbleSize val="0"/>
        </c:dLbls>
        <c:gapWidth val="182"/>
        <c:axId val="1374404703"/>
        <c:axId val="1455854415"/>
      </c:barChart>
      <c:catAx>
        <c:axId val="1374404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55854415"/>
        <c:crosses val="autoZero"/>
        <c:auto val="1"/>
        <c:lblAlgn val="ctr"/>
        <c:lblOffset val="100"/>
        <c:noMultiLvlLbl val="0"/>
      </c:catAx>
      <c:valAx>
        <c:axId val="1455854415"/>
        <c:scaling>
          <c:orientation val="minMax"/>
        </c:scaling>
        <c:delete val="1"/>
        <c:axPos val="b"/>
        <c:numFmt formatCode="0.0" sourceLinked="1"/>
        <c:majorTickMark val="none"/>
        <c:minorTickMark val="none"/>
        <c:tickLblPos val="nextTo"/>
        <c:crossAx val="137440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Youtube.xlsx]Calculations!PivotTable7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D71EF"/>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Calculations!$N$7</c:f>
              <c:strCache>
                <c:ptCount val="1"/>
                <c:pt idx="0">
                  <c:v>Total</c:v>
                </c:pt>
              </c:strCache>
            </c:strRef>
          </c:tx>
          <c:spPr>
            <a:solidFill>
              <a:srgbClr val="6D71EF"/>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Calculations!$M$8:$M$14</c:f>
              <c:strCache>
                <c:ptCount val="7"/>
                <c:pt idx="0">
                  <c:v>Atlanta</c:v>
                </c:pt>
                <c:pt idx="1">
                  <c:v>Dallas</c:v>
                </c:pt>
                <c:pt idx="2">
                  <c:v>Denver</c:v>
                </c:pt>
                <c:pt idx="3">
                  <c:v>Detroit</c:v>
                </c:pt>
                <c:pt idx="4">
                  <c:v>Miami</c:v>
                </c:pt>
                <c:pt idx="5">
                  <c:v>Phoenix</c:v>
                </c:pt>
                <c:pt idx="6">
                  <c:v>Seattle</c:v>
                </c:pt>
              </c:strCache>
            </c:strRef>
          </c:cat>
          <c:val>
            <c:numRef>
              <c:f>Calculations!$N$8:$N$14</c:f>
              <c:numCache>
                <c:formatCode>0%</c:formatCode>
                <c:ptCount val="7"/>
                <c:pt idx="0">
                  <c:v>0.86363636363636365</c:v>
                </c:pt>
                <c:pt idx="1">
                  <c:v>0.8666666666666667</c:v>
                </c:pt>
                <c:pt idx="2">
                  <c:v>0.84375</c:v>
                </c:pt>
                <c:pt idx="3">
                  <c:v>0.875</c:v>
                </c:pt>
                <c:pt idx="4">
                  <c:v>0.90909090909090906</c:v>
                </c:pt>
                <c:pt idx="5">
                  <c:v>1</c:v>
                </c:pt>
                <c:pt idx="6">
                  <c:v>0.93333333333333335</c:v>
                </c:pt>
              </c:numCache>
            </c:numRef>
          </c:val>
          <c:extLst>
            <c:ext xmlns:c16="http://schemas.microsoft.com/office/drawing/2014/chart" uri="{C3380CC4-5D6E-409C-BE32-E72D297353CC}">
              <c16:uniqueId val="{00000005-AEC2-4173-96AE-65A3E3787715}"/>
            </c:ext>
          </c:extLst>
        </c:ser>
        <c:dLbls>
          <c:dLblPos val="outEnd"/>
          <c:showLegendKey val="0"/>
          <c:showVal val="1"/>
          <c:showCatName val="0"/>
          <c:showSerName val="0"/>
          <c:showPercent val="0"/>
          <c:showBubbleSize val="0"/>
        </c:dLbls>
        <c:gapWidth val="182"/>
        <c:axId val="1364951103"/>
        <c:axId val="1364959007"/>
      </c:barChart>
      <c:catAx>
        <c:axId val="13649511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64959007"/>
        <c:crosses val="autoZero"/>
        <c:auto val="1"/>
        <c:lblAlgn val="ctr"/>
        <c:lblOffset val="100"/>
        <c:noMultiLvlLbl val="0"/>
      </c:catAx>
      <c:valAx>
        <c:axId val="1364959007"/>
        <c:scaling>
          <c:orientation val="minMax"/>
        </c:scaling>
        <c:delete val="1"/>
        <c:axPos val="b"/>
        <c:numFmt formatCode="0%" sourceLinked="1"/>
        <c:majorTickMark val="none"/>
        <c:minorTickMark val="none"/>
        <c:tickLblPos val="nextTo"/>
        <c:crossAx val="13649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133350</xdr:colOff>
      <xdr:row>2</xdr:row>
      <xdr:rowOff>19050</xdr:rowOff>
    </xdr:from>
    <xdr:to>
      <xdr:col>21</xdr:col>
      <xdr:colOff>550969</xdr:colOff>
      <xdr:row>36</xdr:row>
      <xdr:rowOff>131869</xdr:rowOff>
    </xdr:to>
    <xdr:grpSp>
      <xdr:nvGrpSpPr>
        <xdr:cNvPr id="2" name="Group 1">
          <a:extLst>
            <a:ext uri="{FF2B5EF4-FFF2-40B4-BE49-F238E27FC236}">
              <a16:creationId xmlns:a16="http://schemas.microsoft.com/office/drawing/2014/main" id="{56031B65-A382-4AB1-949C-E929EE4E8387}"/>
            </a:ext>
          </a:extLst>
        </xdr:cNvPr>
        <xdr:cNvGrpSpPr/>
      </xdr:nvGrpSpPr>
      <xdr:grpSpPr>
        <a:xfrm>
          <a:off x="1384052" y="386947"/>
          <a:ext cx="12343105" cy="6439464"/>
          <a:chOff x="93133" y="110067"/>
          <a:chExt cx="12005734" cy="6595534"/>
        </a:xfrm>
      </xdr:grpSpPr>
      <xdr:sp macro="" textlink="">
        <xdr:nvSpPr>
          <xdr:cNvPr id="3" name="Rectangle: Rounded Corners 2">
            <a:extLst>
              <a:ext uri="{FF2B5EF4-FFF2-40B4-BE49-F238E27FC236}">
                <a16:creationId xmlns:a16="http://schemas.microsoft.com/office/drawing/2014/main" id="{F93C4F5E-60AC-4566-B4DB-432582C1E7F8}"/>
              </a:ext>
            </a:extLst>
          </xdr:cNvPr>
          <xdr:cNvSpPr/>
        </xdr:nvSpPr>
        <xdr:spPr>
          <a:xfrm>
            <a:off x="93133" y="110067"/>
            <a:ext cx="12005734" cy="6595533"/>
          </a:xfrm>
          <a:prstGeom prst="roundRect">
            <a:avLst>
              <a:gd name="adj" fmla="val 2033"/>
            </a:avLst>
          </a:prstGeom>
          <a:gradFill>
            <a:gsLst>
              <a:gs pos="8000">
                <a:srgbClr val="2E2E62"/>
              </a:gs>
              <a:gs pos="40000">
                <a:srgbClr val="000000"/>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3">
            <a:extLst>
              <a:ext uri="{FF2B5EF4-FFF2-40B4-BE49-F238E27FC236}">
                <a16:creationId xmlns:a16="http://schemas.microsoft.com/office/drawing/2014/main" id="{A6E0BBAB-48E1-4123-9EEB-23CF19E0037A}"/>
              </a:ext>
            </a:extLst>
          </xdr:cNvPr>
          <xdr:cNvSpPr/>
        </xdr:nvSpPr>
        <xdr:spPr>
          <a:xfrm>
            <a:off x="93133" y="895927"/>
            <a:ext cx="1485900" cy="5809674"/>
          </a:xfrm>
          <a:prstGeom prst="rect">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E95CD55C-F065-4E7E-B60B-934F154E2755}"/>
              </a:ext>
            </a:extLst>
          </xdr:cNvPr>
          <xdr:cNvSpPr/>
        </xdr:nvSpPr>
        <xdr:spPr>
          <a:xfrm>
            <a:off x="1891719" y="895926"/>
            <a:ext cx="1645807"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FA75B479-1D0D-41B0-AD50-BED2D38505A1}"/>
              </a:ext>
            </a:extLst>
          </xdr:cNvPr>
          <xdr:cNvSpPr/>
        </xdr:nvSpPr>
        <xdr:spPr>
          <a:xfrm>
            <a:off x="3582939" y="895926"/>
            <a:ext cx="1275388"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8C52CAAA-FAFF-4B67-8388-BAA6B8CA8E6B}"/>
              </a:ext>
            </a:extLst>
          </xdr:cNvPr>
          <xdr:cNvSpPr/>
        </xdr:nvSpPr>
        <xdr:spPr>
          <a:xfrm>
            <a:off x="4903739" y="895926"/>
            <a:ext cx="1275388"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CD0D74AE-1DB3-4BDF-B002-9D19F32CD68A}"/>
              </a:ext>
            </a:extLst>
          </xdr:cNvPr>
          <xdr:cNvSpPr/>
        </xdr:nvSpPr>
        <xdr:spPr>
          <a:xfrm>
            <a:off x="6224539" y="895926"/>
            <a:ext cx="1275388"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AFAB841E-6CAD-4996-B044-26EA5255AC47}"/>
              </a:ext>
            </a:extLst>
          </xdr:cNvPr>
          <xdr:cNvSpPr/>
        </xdr:nvSpPr>
        <xdr:spPr>
          <a:xfrm>
            <a:off x="7545339" y="895926"/>
            <a:ext cx="1275388"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263A41DE-5672-48F4-93CC-BD7BDA89ECF8}"/>
              </a:ext>
            </a:extLst>
          </xdr:cNvPr>
          <xdr:cNvSpPr/>
        </xdr:nvSpPr>
        <xdr:spPr>
          <a:xfrm>
            <a:off x="8866138" y="895926"/>
            <a:ext cx="2374515" cy="1994516"/>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4803F510-CBF2-4909-8757-72B83FE647F0}"/>
              </a:ext>
            </a:extLst>
          </xdr:cNvPr>
          <xdr:cNvSpPr/>
        </xdr:nvSpPr>
        <xdr:spPr>
          <a:xfrm>
            <a:off x="1891720" y="2050473"/>
            <a:ext cx="3243698" cy="1994516"/>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9D373719-004F-46BD-A33B-36CC6E8540CE}"/>
              </a:ext>
            </a:extLst>
          </xdr:cNvPr>
          <xdr:cNvSpPr/>
        </xdr:nvSpPr>
        <xdr:spPr>
          <a:xfrm>
            <a:off x="5356128" y="2050473"/>
            <a:ext cx="3289300" cy="1994516"/>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744CB986-8A95-47EE-8146-6DAE206230E1}"/>
              </a:ext>
            </a:extLst>
          </xdr:cNvPr>
          <xdr:cNvSpPr/>
        </xdr:nvSpPr>
        <xdr:spPr>
          <a:xfrm>
            <a:off x="8865754" y="3168072"/>
            <a:ext cx="2966027" cy="336911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314088EB-0EBE-4189-A8C1-2EA078517314}"/>
              </a:ext>
            </a:extLst>
          </xdr:cNvPr>
          <xdr:cNvSpPr/>
        </xdr:nvSpPr>
        <xdr:spPr>
          <a:xfrm>
            <a:off x="1891718" y="4262582"/>
            <a:ext cx="6753709" cy="227460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438150</xdr:colOff>
      <xdr:row>7</xdr:row>
      <xdr:rowOff>47625</xdr:rowOff>
    </xdr:from>
    <xdr:to>
      <xdr:col>7</xdr:col>
      <xdr:colOff>361950</xdr:colOff>
      <xdr:row>9</xdr:row>
      <xdr:rowOff>104775</xdr:rowOff>
    </xdr:to>
    <xdr:sp macro="" textlink="Calculations!B4">
      <xdr:nvSpPr>
        <xdr:cNvPr id="16" name="TextBox 15">
          <a:extLst>
            <a:ext uri="{FF2B5EF4-FFF2-40B4-BE49-F238E27FC236}">
              <a16:creationId xmlns:a16="http://schemas.microsoft.com/office/drawing/2014/main" id="{5F6CEC9C-B59F-4435-BB38-98387DA3FD97}"/>
            </a:ext>
          </a:extLst>
        </xdr:cNvPr>
        <xdr:cNvSpPr txBox="1"/>
      </xdr:nvSpPr>
      <xdr:spPr>
        <a:xfrm>
          <a:off x="3486150" y="1381125"/>
          <a:ext cx="1143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5E70CA-9723-4867-84F9-4422A5C74A13}"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295</a:t>
          </a:fld>
          <a:endParaRPr lang="en-US"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8</xdr:col>
      <xdr:colOff>238125</xdr:colOff>
      <xdr:row>7</xdr:row>
      <xdr:rowOff>85725</xdr:rowOff>
    </xdr:from>
    <xdr:to>
      <xdr:col>10</xdr:col>
      <xdr:colOff>133350</xdr:colOff>
      <xdr:row>9</xdr:row>
      <xdr:rowOff>19050</xdr:rowOff>
    </xdr:to>
    <xdr:sp macro="" textlink="Calculations!C4">
      <xdr:nvSpPr>
        <xdr:cNvPr id="17" name="TextBox 16">
          <a:extLst>
            <a:ext uri="{FF2B5EF4-FFF2-40B4-BE49-F238E27FC236}">
              <a16:creationId xmlns:a16="http://schemas.microsoft.com/office/drawing/2014/main" id="{316C5F83-46B2-40B3-90B4-4A3C48088794}"/>
            </a:ext>
          </a:extLst>
        </xdr:cNvPr>
        <xdr:cNvSpPr txBox="1"/>
      </xdr:nvSpPr>
      <xdr:spPr>
        <a:xfrm>
          <a:off x="5114925" y="141922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46E63-4A23-4450-9BE5-1A17AF59F950}"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83%</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10</xdr:col>
      <xdr:colOff>76200</xdr:colOff>
      <xdr:row>7</xdr:row>
      <xdr:rowOff>76200</xdr:rowOff>
    </xdr:from>
    <xdr:to>
      <xdr:col>11</xdr:col>
      <xdr:colOff>581025</xdr:colOff>
      <xdr:row>9</xdr:row>
      <xdr:rowOff>9525</xdr:rowOff>
    </xdr:to>
    <xdr:sp macro="" textlink="Calculations!D4">
      <xdr:nvSpPr>
        <xdr:cNvPr id="18" name="TextBox 17">
          <a:extLst>
            <a:ext uri="{FF2B5EF4-FFF2-40B4-BE49-F238E27FC236}">
              <a16:creationId xmlns:a16="http://schemas.microsoft.com/office/drawing/2014/main" id="{62F4ED1A-BA1E-4025-8626-7836CBC46948}"/>
            </a:ext>
          </a:extLst>
        </xdr:cNvPr>
        <xdr:cNvSpPr txBox="1"/>
      </xdr:nvSpPr>
      <xdr:spPr>
        <a:xfrm>
          <a:off x="6172200" y="1409700"/>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752A73-019F-4984-AA32-FF7F7DA41CBF}"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$217.89</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12</xdr:col>
      <xdr:colOff>438150</xdr:colOff>
      <xdr:row>7</xdr:row>
      <xdr:rowOff>66675</xdr:rowOff>
    </xdr:from>
    <xdr:to>
      <xdr:col>13</xdr:col>
      <xdr:colOff>590549</xdr:colOff>
      <xdr:row>9</xdr:row>
      <xdr:rowOff>19050</xdr:rowOff>
    </xdr:to>
    <xdr:sp macro="" textlink="Calculations!E4">
      <xdr:nvSpPr>
        <xdr:cNvPr id="19" name="TextBox 18">
          <a:extLst>
            <a:ext uri="{FF2B5EF4-FFF2-40B4-BE49-F238E27FC236}">
              <a16:creationId xmlns:a16="http://schemas.microsoft.com/office/drawing/2014/main" id="{AE531D53-7625-4AEA-A01D-BF6A3D190C5F}"/>
            </a:ext>
          </a:extLst>
        </xdr:cNvPr>
        <xdr:cNvSpPr txBox="1"/>
      </xdr:nvSpPr>
      <xdr:spPr>
        <a:xfrm>
          <a:off x="7753350" y="1400175"/>
          <a:ext cx="7619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2FA989-FEF4-4193-A016-BE72A5579E74}"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4Days</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14</xdr:col>
      <xdr:colOff>428625</xdr:colOff>
      <xdr:row>7</xdr:row>
      <xdr:rowOff>85725</xdr:rowOff>
    </xdr:from>
    <xdr:to>
      <xdr:col>16</xdr:col>
      <xdr:colOff>323850</xdr:colOff>
      <xdr:row>9</xdr:row>
      <xdr:rowOff>19050</xdr:rowOff>
    </xdr:to>
    <xdr:sp macro="" textlink="Calculations!F4">
      <xdr:nvSpPr>
        <xdr:cNvPr id="20" name="TextBox 19">
          <a:extLst>
            <a:ext uri="{FF2B5EF4-FFF2-40B4-BE49-F238E27FC236}">
              <a16:creationId xmlns:a16="http://schemas.microsoft.com/office/drawing/2014/main" id="{B84D0DF2-3074-4EEC-A729-FD439F0D48B9}"/>
            </a:ext>
          </a:extLst>
        </xdr:cNvPr>
        <xdr:cNvSpPr txBox="1"/>
      </xdr:nvSpPr>
      <xdr:spPr>
        <a:xfrm>
          <a:off x="8963025" y="141922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CDA399-DF3D-4150-9A3D-C58E286924A9}"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1322.25</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5</xdr:col>
      <xdr:colOff>76200</xdr:colOff>
      <xdr:row>13</xdr:row>
      <xdr:rowOff>47624</xdr:rowOff>
    </xdr:from>
    <xdr:to>
      <xdr:col>10</xdr:col>
      <xdr:colOff>323850</xdr:colOff>
      <xdr:row>22</xdr:row>
      <xdr:rowOff>114299</xdr:rowOff>
    </xdr:to>
    <xdr:graphicFrame macro="">
      <xdr:nvGraphicFramePr>
        <xdr:cNvPr id="21" name="Chart 20">
          <a:extLst>
            <a:ext uri="{FF2B5EF4-FFF2-40B4-BE49-F238E27FC236}">
              <a16:creationId xmlns:a16="http://schemas.microsoft.com/office/drawing/2014/main" id="{2181EC04-84D5-46D4-B105-21D38707D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12</xdr:row>
      <xdr:rowOff>171450</xdr:rowOff>
    </xdr:from>
    <xdr:to>
      <xdr:col>16</xdr:col>
      <xdr:colOff>142875</xdr:colOff>
      <xdr:row>22</xdr:row>
      <xdr:rowOff>142875</xdr:rowOff>
    </xdr:to>
    <xdr:graphicFrame macro="">
      <xdr:nvGraphicFramePr>
        <xdr:cNvPr id="22" name="Chart 21">
          <a:extLst>
            <a:ext uri="{FF2B5EF4-FFF2-40B4-BE49-F238E27FC236}">
              <a16:creationId xmlns:a16="http://schemas.microsoft.com/office/drawing/2014/main" id="{2097ACCA-B394-4310-8C1F-31DF013E8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85725</xdr:colOff>
      <xdr:row>7</xdr:row>
      <xdr:rowOff>152400</xdr:rowOff>
    </xdr:from>
    <xdr:to>
      <xdr:col>20</xdr:col>
      <xdr:colOff>104774</xdr:colOff>
      <xdr:row>16</xdr:row>
      <xdr:rowOff>119063</xdr:rowOff>
    </xdr:to>
    <xdr:graphicFrame macro="">
      <xdr:nvGraphicFramePr>
        <xdr:cNvPr id="23" name="Chart 22">
          <a:extLst>
            <a:ext uri="{FF2B5EF4-FFF2-40B4-BE49-F238E27FC236}">
              <a16:creationId xmlns:a16="http://schemas.microsoft.com/office/drawing/2014/main" id="{CB2123A1-2477-4D65-A5D3-6FFACA7C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285750</xdr:colOff>
      <xdr:row>25</xdr:row>
      <xdr:rowOff>66675</xdr:rowOff>
    </xdr:from>
    <xdr:to>
      <xdr:col>10</xdr:col>
      <xdr:colOff>295275</xdr:colOff>
      <xdr:row>35</xdr:row>
      <xdr:rowOff>66675</xdr:rowOff>
    </xdr:to>
    <xdr:graphicFrame macro="">
      <xdr:nvGraphicFramePr>
        <xdr:cNvPr id="24" name="Chart 23">
          <a:extLst>
            <a:ext uri="{FF2B5EF4-FFF2-40B4-BE49-F238E27FC236}">
              <a16:creationId xmlns:a16="http://schemas.microsoft.com/office/drawing/2014/main" id="{DB082D82-1E8B-47E5-A7D5-122A6121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466725</xdr:colOff>
      <xdr:row>25</xdr:row>
      <xdr:rowOff>57150</xdr:rowOff>
    </xdr:from>
    <xdr:to>
      <xdr:col>15</xdr:col>
      <xdr:colOff>552450</xdr:colOff>
      <xdr:row>36</xdr:row>
      <xdr:rowOff>71438</xdr:rowOff>
    </xdr:to>
    <xdr:graphicFrame macro="">
      <xdr:nvGraphicFramePr>
        <xdr:cNvPr id="25" name="Chart 24">
          <a:extLst>
            <a:ext uri="{FF2B5EF4-FFF2-40B4-BE49-F238E27FC236}">
              <a16:creationId xmlns:a16="http://schemas.microsoft.com/office/drawing/2014/main" id="{501E0E37-3BC0-48F8-866B-43B8F1E07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361950</xdr:colOff>
      <xdr:row>19</xdr:row>
      <xdr:rowOff>0</xdr:rowOff>
    </xdr:from>
    <xdr:to>
      <xdr:col>21</xdr:col>
      <xdr:colOff>133350</xdr:colOff>
      <xdr:row>35</xdr:row>
      <xdr:rowOff>33338</xdr:rowOff>
    </xdr:to>
    <xdr:graphicFrame macro="">
      <xdr:nvGraphicFramePr>
        <xdr:cNvPr id="26" name="Chart 25">
          <a:extLst>
            <a:ext uri="{FF2B5EF4-FFF2-40B4-BE49-F238E27FC236}">
              <a16:creationId xmlns:a16="http://schemas.microsoft.com/office/drawing/2014/main" id="{C7891C82-0CE8-4AF3-B45C-CA810DAB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123825</xdr:colOff>
      <xdr:row>6</xdr:row>
      <xdr:rowOff>95250</xdr:rowOff>
    </xdr:from>
    <xdr:to>
      <xdr:col>7</xdr:col>
      <xdr:colOff>95250</xdr:colOff>
      <xdr:row>7</xdr:row>
      <xdr:rowOff>133350</xdr:rowOff>
    </xdr:to>
    <xdr:sp macro="" textlink="">
      <xdr:nvSpPr>
        <xdr:cNvPr id="27" name="TextBox 26">
          <a:extLst>
            <a:ext uri="{FF2B5EF4-FFF2-40B4-BE49-F238E27FC236}">
              <a16:creationId xmlns:a16="http://schemas.microsoft.com/office/drawing/2014/main" id="{5DC23148-0378-4A70-BAFD-7F5A56E4E0EE}"/>
            </a:ext>
          </a:extLst>
        </xdr:cNvPr>
        <xdr:cNvSpPr txBox="1"/>
      </xdr:nvSpPr>
      <xdr:spPr>
        <a:xfrm>
          <a:off x="3171825" y="1238250"/>
          <a:ext cx="11906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latin typeface="Segoe UI Semibold" panose="020B0702040204020203" pitchFamily="34" charset="0"/>
              <a:cs typeface="Segoe UI Semibold" panose="020B0702040204020203" pitchFamily="34" charset="0"/>
            </a:rPr>
            <a:t>Total</a:t>
          </a:r>
          <a:r>
            <a:rPr lang="en-US" sz="1050" baseline="0">
              <a:solidFill>
                <a:schemeClr val="bg1"/>
              </a:solidFill>
              <a:latin typeface="Segoe UI Semibold" panose="020B0702040204020203" pitchFamily="34" charset="0"/>
              <a:cs typeface="Segoe UI Semibold" panose="020B0702040204020203" pitchFamily="34" charset="0"/>
            </a:rPr>
            <a:t> Shipment</a:t>
          </a:r>
          <a:endParaRPr lang="en-US" sz="105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571500</xdr:colOff>
      <xdr:row>6</xdr:row>
      <xdr:rowOff>66675</xdr:rowOff>
    </xdr:from>
    <xdr:to>
      <xdr:col>9</xdr:col>
      <xdr:colOff>238125</xdr:colOff>
      <xdr:row>7</xdr:row>
      <xdr:rowOff>104775</xdr:rowOff>
    </xdr:to>
    <xdr:sp macro="" textlink="">
      <xdr:nvSpPr>
        <xdr:cNvPr id="28" name="TextBox 27">
          <a:extLst>
            <a:ext uri="{FF2B5EF4-FFF2-40B4-BE49-F238E27FC236}">
              <a16:creationId xmlns:a16="http://schemas.microsoft.com/office/drawing/2014/main" id="{69D32110-A239-41CA-9337-DC0598748711}"/>
            </a:ext>
          </a:extLst>
        </xdr:cNvPr>
        <xdr:cNvSpPr txBox="1"/>
      </xdr:nvSpPr>
      <xdr:spPr>
        <a:xfrm>
          <a:off x="4838700" y="1209675"/>
          <a:ext cx="8858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Delivery Rate</a:t>
          </a:r>
        </a:p>
      </xdr:txBody>
    </xdr:sp>
    <xdr:clientData/>
  </xdr:twoCellAnchor>
  <xdr:twoCellAnchor>
    <xdr:from>
      <xdr:col>10</xdr:col>
      <xdr:colOff>57151</xdr:colOff>
      <xdr:row>6</xdr:row>
      <xdr:rowOff>66675</xdr:rowOff>
    </xdr:from>
    <xdr:to>
      <xdr:col>11</xdr:col>
      <xdr:colOff>95251</xdr:colOff>
      <xdr:row>7</xdr:row>
      <xdr:rowOff>95250</xdr:rowOff>
    </xdr:to>
    <xdr:sp macro="" textlink="">
      <xdr:nvSpPr>
        <xdr:cNvPr id="29" name="TextBox 28">
          <a:extLst>
            <a:ext uri="{FF2B5EF4-FFF2-40B4-BE49-F238E27FC236}">
              <a16:creationId xmlns:a16="http://schemas.microsoft.com/office/drawing/2014/main" id="{0A3E5034-20E6-47F1-BFF1-5334580E6BA7}"/>
            </a:ext>
          </a:extLst>
        </xdr:cNvPr>
        <xdr:cNvSpPr txBox="1"/>
      </xdr:nvSpPr>
      <xdr:spPr>
        <a:xfrm>
          <a:off x="6153151" y="1209675"/>
          <a:ext cx="6477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Cost</a:t>
          </a:r>
        </a:p>
      </xdr:txBody>
    </xdr:sp>
    <xdr:clientData/>
  </xdr:twoCellAnchor>
  <xdr:twoCellAnchor>
    <xdr:from>
      <xdr:col>12</xdr:col>
      <xdr:colOff>152402</xdr:colOff>
      <xdr:row>6</xdr:row>
      <xdr:rowOff>66675</xdr:rowOff>
    </xdr:from>
    <xdr:to>
      <xdr:col>14</xdr:col>
      <xdr:colOff>95250</xdr:colOff>
      <xdr:row>7</xdr:row>
      <xdr:rowOff>104775</xdr:rowOff>
    </xdr:to>
    <xdr:sp macro="" textlink="">
      <xdr:nvSpPr>
        <xdr:cNvPr id="30" name="TextBox 29">
          <a:extLst>
            <a:ext uri="{FF2B5EF4-FFF2-40B4-BE49-F238E27FC236}">
              <a16:creationId xmlns:a16="http://schemas.microsoft.com/office/drawing/2014/main" id="{2EE1EB6B-4159-450F-8F8F-2DBBA1337FD2}"/>
            </a:ext>
          </a:extLst>
        </xdr:cNvPr>
        <xdr:cNvSpPr txBox="1"/>
      </xdr:nvSpPr>
      <xdr:spPr>
        <a:xfrm>
          <a:off x="7467602" y="1209675"/>
          <a:ext cx="116204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Transit Day(s)</a:t>
          </a:r>
        </a:p>
      </xdr:txBody>
    </xdr:sp>
    <xdr:clientData/>
  </xdr:twoCellAnchor>
  <xdr:twoCellAnchor>
    <xdr:from>
      <xdr:col>14</xdr:col>
      <xdr:colOff>209553</xdr:colOff>
      <xdr:row>6</xdr:row>
      <xdr:rowOff>66675</xdr:rowOff>
    </xdr:from>
    <xdr:to>
      <xdr:col>16</xdr:col>
      <xdr:colOff>152401</xdr:colOff>
      <xdr:row>7</xdr:row>
      <xdr:rowOff>104775</xdr:rowOff>
    </xdr:to>
    <xdr:sp macro="" textlink="">
      <xdr:nvSpPr>
        <xdr:cNvPr id="31" name="TextBox 30">
          <a:extLst>
            <a:ext uri="{FF2B5EF4-FFF2-40B4-BE49-F238E27FC236}">
              <a16:creationId xmlns:a16="http://schemas.microsoft.com/office/drawing/2014/main" id="{0C47A45C-8ABC-4D9E-8FDB-A8D104A24BBD}"/>
            </a:ext>
          </a:extLst>
        </xdr:cNvPr>
        <xdr:cNvSpPr txBox="1"/>
      </xdr:nvSpPr>
      <xdr:spPr>
        <a:xfrm>
          <a:off x="8743953" y="1209675"/>
          <a:ext cx="116204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Miles Traveles</a:t>
          </a:r>
        </a:p>
      </xdr:txBody>
    </xdr:sp>
    <xdr:clientData/>
  </xdr:twoCellAnchor>
  <xdr:twoCellAnchor>
    <xdr:from>
      <xdr:col>3</xdr:col>
      <xdr:colOff>19050</xdr:colOff>
      <xdr:row>2</xdr:row>
      <xdr:rowOff>161924</xdr:rowOff>
    </xdr:from>
    <xdr:to>
      <xdr:col>8</xdr:col>
      <xdr:colOff>19050</xdr:colOff>
      <xdr:row>5</xdr:row>
      <xdr:rowOff>38099</xdr:rowOff>
    </xdr:to>
    <xdr:sp macro="" textlink="">
      <xdr:nvSpPr>
        <xdr:cNvPr id="32" name="TextBox 31">
          <a:extLst>
            <a:ext uri="{FF2B5EF4-FFF2-40B4-BE49-F238E27FC236}">
              <a16:creationId xmlns:a16="http://schemas.microsoft.com/office/drawing/2014/main" id="{6E53A44D-6DE3-4B12-95CB-4F5CEDAC9967}"/>
            </a:ext>
          </a:extLst>
        </xdr:cNvPr>
        <xdr:cNvSpPr txBox="1"/>
      </xdr:nvSpPr>
      <xdr:spPr>
        <a:xfrm>
          <a:off x="1847850" y="542924"/>
          <a:ext cx="3048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Dosis ExtraLight" pitchFamily="2" charset="0"/>
              <a:cs typeface="Segoe UI Semibold" panose="020B0702040204020203" pitchFamily="34" charset="0"/>
            </a:rPr>
            <a:t>Logistics Analytics Dashboard</a:t>
          </a:r>
        </a:p>
      </xdr:txBody>
    </xdr:sp>
    <xdr:clientData/>
  </xdr:twoCellAnchor>
  <xdr:twoCellAnchor>
    <xdr:from>
      <xdr:col>3</xdr:col>
      <xdr:colOff>209551</xdr:colOff>
      <xdr:row>7</xdr:row>
      <xdr:rowOff>171449</xdr:rowOff>
    </xdr:from>
    <xdr:to>
      <xdr:col>4</xdr:col>
      <xdr:colOff>381001</xdr:colOff>
      <xdr:row>9</xdr:row>
      <xdr:rowOff>57150</xdr:rowOff>
    </xdr:to>
    <xdr:sp macro="" textlink="">
      <xdr:nvSpPr>
        <xdr:cNvPr id="33" name="TextBox 32">
          <a:extLst>
            <a:ext uri="{FF2B5EF4-FFF2-40B4-BE49-F238E27FC236}">
              <a16:creationId xmlns:a16="http://schemas.microsoft.com/office/drawing/2014/main" id="{4C81BD64-09CF-44A4-A4C5-C9348232EDAF}"/>
            </a:ext>
          </a:extLst>
        </xdr:cNvPr>
        <xdr:cNvSpPr txBox="1"/>
      </xdr:nvSpPr>
      <xdr:spPr>
        <a:xfrm>
          <a:off x="2038351" y="1504949"/>
          <a:ext cx="7810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0">
            <a:solidFill>
              <a:schemeClr val="bg1"/>
            </a:solidFill>
            <a:latin typeface="Dosis ExtraLight" pitchFamily="2" charset="0"/>
            <a:cs typeface="Segoe UI Semibold" panose="020B0702040204020203" pitchFamily="34" charset="0"/>
          </a:endParaRPr>
        </a:p>
      </xdr:txBody>
    </xdr:sp>
    <xdr:clientData/>
  </xdr:twoCellAnchor>
  <xdr:twoCellAnchor>
    <xdr:from>
      <xdr:col>3</xdr:col>
      <xdr:colOff>209553</xdr:colOff>
      <xdr:row>12</xdr:row>
      <xdr:rowOff>142874</xdr:rowOff>
    </xdr:from>
    <xdr:to>
      <xdr:col>4</xdr:col>
      <xdr:colOff>381003</xdr:colOff>
      <xdr:row>14</xdr:row>
      <xdr:rowOff>28575</xdr:rowOff>
    </xdr:to>
    <xdr:sp macro="" textlink="">
      <xdr:nvSpPr>
        <xdr:cNvPr id="35" name="TextBox 34">
          <a:extLst>
            <a:ext uri="{FF2B5EF4-FFF2-40B4-BE49-F238E27FC236}">
              <a16:creationId xmlns:a16="http://schemas.microsoft.com/office/drawing/2014/main" id="{AA793699-1B85-4469-A865-9B03CB0CF57E}"/>
            </a:ext>
          </a:extLst>
        </xdr:cNvPr>
        <xdr:cNvSpPr txBox="1"/>
      </xdr:nvSpPr>
      <xdr:spPr>
        <a:xfrm>
          <a:off x="2038353" y="2428874"/>
          <a:ext cx="7810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0">
            <a:solidFill>
              <a:schemeClr val="bg1"/>
            </a:solidFill>
            <a:latin typeface="Dosis ExtraLight" pitchFamily="2" charset="0"/>
            <a:cs typeface="Segoe UI Semibold" panose="020B0702040204020203" pitchFamily="34" charset="0"/>
          </a:endParaRPr>
        </a:p>
      </xdr:txBody>
    </xdr:sp>
    <xdr:clientData/>
  </xdr:twoCellAnchor>
  <xdr:twoCellAnchor>
    <xdr:from>
      <xdr:col>3</xdr:col>
      <xdr:colOff>209554</xdr:colOff>
      <xdr:row>15</xdr:row>
      <xdr:rowOff>9524</xdr:rowOff>
    </xdr:from>
    <xdr:to>
      <xdr:col>4</xdr:col>
      <xdr:colOff>381004</xdr:colOff>
      <xdr:row>16</xdr:row>
      <xdr:rowOff>85725</xdr:rowOff>
    </xdr:to>
    <xdr:sp macro="" textlink="">
      <xdr:nvSpPr>
        <xdr:cNvPr id="36" name="TextBox 35">
          <a:extLst>
            <a:ext uri="{FF2B5EF4-FFF2-40B4-BE49-F238E27FC236}">
              <a16:creationId xmlns:a16="http://schemas.microsoft.com/office/drawing/2014/main" id="{1842A9CA-68A2-497F-89AE-8A338A778243}"/>
            </a:ext>
          </a:extLst>
        </xdr:cNvPr>
        <xdr:cNvSpPr txBox="1"/>
      </xdr:nvSpPr>
      <xdr:spPr>
        <a:xfrm>
          <a:off x="2038354" y="2867024"/>
          <a:ext cx="7810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0">
            <a:solidFill>
              <a:schemeClr val="bg1"/>
            </a:solidFill>
            <a:latin typeface="Dosis ExtraLight" pitchFamily="2" charset="0"/>
            <a:cs typeface="Segoe UI Semibold" panose="020B0702040204020203" pitchFamily="34" charset="0"/>
          </a:endParaRPr>
        </a:p>
      </xdr:txBody>
    </xdr:sp>
    <xdr:clientData/>
  </xdr:twoCellAnchor>
  <xdr:twoCellAnchor>
    <xdr:from>
      <xdr:col>11</xdr:col>
      <xdr:colOff>266700</xdr:colOff>
      <xdr:row>3</xdr:row>
      <xdr:rowOff>0</xdr:rowOff>
    </xdr:from>
    <xdr:to>
      <xdr:col>20</xdr:col>
      <xdr:colOff>323850</xdr:colOff>
      <xdr:row>5</xdr:row>
      <xdr:rowOff>104775</xdr:rowOff>
    </xdr:to>
    <xdr:sp macro="" textlink="">
      <xdr:nvSpPr>
        <xdr:cNvPr id="38" name="Rectangle: Rounded Corners 37">
          <a:extLst>
            <a:ext uri="{FF2B5EF4-FFF2-40B4-BE49-F238E27FC236}">
              <a16:creationId xmlns:a16="http://schemas.microsoft.com/office/drawing/2014/main" id="{63238BA8-462A-434A-9FBC-91CE4A488CB5}"/>
            </a:ext>
          </a:extLst>
        </xdr:cNvPr>
        <xdr:cNvSpPr/>
      </xdr:nvSpPr>
      <xdr:spPr>
        <a:xfrm>
          <a:off x="6972300" y="571500"/>
          <a:ext cx="5543550" cy="485775"/>
        </a:xfrm>
        <a:prstGeom prst="roundRect">
          <a:avLst/>
        </a:prstGeom>
        <a:solidFill>
          <a:srgbClr val="191A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361949</xdr:colOff>
      <xdr:row>3</xdr:row>
      <xdr:rowOff>38100</xdr:rowOff>
    </xdr:from>
    <xdr:to>
      <xdr:col>20</xdr:col>
      <xdr:colOff>295274</xdr:colOff>
      <xdr:row>5</xdr:row>
      <xdr:rowOff>66674</xdr:rowOff>
    </xdr:to>
    <mc:AlternateContent xmlns:mc="http://schemas.openxmlformats.org/markup-compatibility/2006" xmlns:a14="http://schemas.microsoft.com/office/drawing/2010/main">
      <mc:Choice Requires="a14">
        <xdr:graphicFrame macro="">
          <xdr:nvGraphicFramePr>
            <xdr:cNvPr id="37" name="Carrier">
              <a:extLst>
                <a:ext uri="{FF2B5EF4-FFF2-40B4-BE49-F238E27FC236}">
                  <a16:creationId xmlns:a16="http://schemas.microsoft.com/office/drawing/2014/main" id="{E14D7A3A-DD46-4D0F-A7C9-62B495930910}"/>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7067549" y="609600"/>
              <a:ext cx="5419725" cy="40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97666</xdr:colOff>
      <xdr:row>4</xdr:row>
      <xdr:rowOff>158812</xdr:rowOff>
    </xdr:from>
    <xdr:to>
      <xdr:col>27</xdr:col>
      <xdr:colOff>107191</xdr:colOff>
      <xdr:row>13</xdr:row>
      <xdr:rowOff>174052</xdr:rowOff>
    </xdr:to>
    <xdr:sp macro="" textlink="">
      <xdr:nvSpPr>
        <xdr:cNvPr id="40" name="Rectangle: Rounded Corners 39">
          <a:extLst>
            <a:ext uri="{FF2B5EF4-FFF2-40B4-BE49-F238E27FC236}">
              <a16:creationId xmlns:a16="http://schemas.microsoft.com/office/drawing/2014/main" id="{77A26032-19E7-4B0D-89AB-12976C10468A}"/>
            </a:ext>
          </a:extLst>
        </xdr:cNvPr>
        <xdr:cNvSpPr/>
      </xdr:nvSpPr>
      <xdr:spPr>
        <a:xfrm>
          <a:off x="13270044" y="902227"/>
          <a:ext cx="3773062" cy="1687923"/>
        </a:xfrm>
        <a:prstGeom prst="roundRect">
          <a:avLst/>
        </a:prstGeom>
        <a:solidFill>
          <a:srgbClr val="191A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354378</xdr:colOff>
      <xdr:row>5</xdr:row>
      <xdr:rowOff>40567</xdr:rowOff>
    </xdr:from>
    <xdr:to>
      <xdr:col>26</xdr:col>
      <xdr:colOff>604024</xdr:colOff>
      <xdr:row>12</xdr:row>
      <xdr:rowOff>116159</xdr:rowOff>
    </xdr:to>
    <mc:AlternateContent xmlns:mc="http://schemas.openxmlformats.org/markup-compatibility/2006">
      <mc:Choice xmlns:tsle="http://schemas.microsoft.com/office/drawing/2012/timeslicer" Requires="tsle">
        <xdr:graphicFrame macro="">
          <xdr:nvGraphicFramePr>
            <xdr:cNvPr id="39" name="Date">
              <a:extLst>
                <a:ext uri="{FF2B5EF4-FFF2-40B4-BE49-F238E27FC236}">
                  <a16:creationId xmlns:a16="http://schemas.microsoft.com/office/drawing/2014/main" id="{5E73D3B6-6070-4E7F-8D1A-A0EABF9ADD1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530566" y="969835"/>
              <a:ext cx="3380212" cy="13765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352425</xdr:colOff>
      <xdr:row>10</xdr:row>
      <xdr:rowOff>66675</xdr:rowOff>
    </xdr:from>
    <xdr:to>
      <xdr:col>19</xdr:col>
      <xdr:colOff>323850</xdr:colOff>
      <xdr:row>12</xdr:row>
      <xdr:rowOff>47625</xdr:rowOff>
    </xdr:to>
    <xdr:sp macro="" textlink="Calculations!K7">
      <xdr:nvSpPr>
        <xdr:cNvPr id="41" name="TextBox 40">
          <a:extLst>
            <a:ext uri="{FF2B5EF4-FFF2-40B4-BE49-F238E27FC236}">
              <a16:creationId xmlns:a16="http://schemas.microsoft.com/office/drawing/2014/main" id="{D56FA01C-E8D8-4CDF-BA1A-6513E64963B2}"/>
            </a:ext>
          </a:extLst>
        </xdr:cNvPr>
        <xdr:cNvSpPr txBox="1"/>
      </xdr:nvSpPr>
      <xdr:spPr>
        <a:xfrm>
          <a:off x="10715625" y="1971675"/>
          <a:ext cx="1190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B331A2C-6BBF-48F2-89EF-AE3F1913DCB3}"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FedEx</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17</xdr:col>
      <xdr:colOff>371475</xdr:colOff>
      <xdr:row>11</xdr:row>
      <xdr:rowOff>142875</xdr:rowOff>
    </xdr:from>
    <xdr:to>
      <xdr:col>19</xdr:col>
      <xdr:colOff>342900</xdr:colOff>
      <xdr:row>13</xdr:row>
      <xdr:rowOff>123825</xdr:rowOff>
    </xdr:to>
    <xdr:sp macro="" textlink="Calculations!K8">
      <xdr:nvSpPr>
        <xdr:cNvPr id="42" name="TextBox 41">
          <a:extLst>
            <a:ext uri="{FF2B5EF4-FFF2-40B4-BE49-F238E27FC236}">
              <a16:creationId xmlns:a16="http://schemas.microsoft.com/office/drawing/2014/main" id="{39516851-AFE4-4E90-A994-8FFB15D453AD}"/>
            </a:ext>
          </a:extLst>
        </xdr:cNvPr>
        <xdr:cNvSpPr txBox="1"/>
      </xdr:nvSpPr>
      <xdr:spPr>
        <a:xfrm>
          <a:off x="10734675" y="2238375"/>
          <a:ext cx="1190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B4518F-A81C-4ADA-80B0-55D2BED3DEDC}" type="TxLink">
            <a:rPr lang="en-US" sz="14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83%</a:t>
          </a:fld>
          <a:endParaRPr lang="en-US" sz="1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5</xdr:col>
      <xdr:colOff>142875</xdr:colOff>
      <xdr:row>12</xdr:row>
      <xdr:rowOff>57150</xdr:rowOff>
    </xdr:from>
    <xdr:to>
      <xdr:col>9</xdr:col>
      <xdr:colOff>257175</xdr:colOff>
      <xdr:row>13</xdr:row>
      <xdr:rowOff>76200</xdr:rowOff>
    </xdr:to>
    <xdr:sp macro="" textlink="">
      <xdr:nvSpPr>
        <xdr:cNvPr id="43" name="TextBox 42">
          <a:extLst>
            <a:ext uri="{FF2B5EF4-FFF2-40B4-BE49-F238E27FC236}">
              <a16:creationId xmlns:a16="http://schemas.microsoft.com/office/drawing/2014/main" id="{AA72A0C8-E3CC-451D-9D5F-FD057CACFDCD}"/>
            </a:ext>
          </a:extLst>
        </xdr:cNvPr>
        <xdr:cNvSpPr txBox="1"/>
      </xdr:nvSpPr>
      <xdr:spPr>
        <a:xfrm>
          <a:off x="3190875" y="2343150"/>
          <a:ext cx="2552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Total</a:t>
          </a:r>
          <a:r>
            <a:rPr lang="en-US" sz="900" baseline="0">
              <a:solidFill>
                <a:schemeClr val="bg1"/>
              </a:solidFill>
              <a:latin typeface="Segoe UI Semibold" panose="020B0702040204020203" pitchFamily="34" charset="0"/>
              <a:cs typeface="Segoe UI Semibold" panose="020B0702040204020203" pitchFamily="34" charset="0"/>
            </a:rPr>
            <a:t> Shipment and Delivery Count by Month</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47625</xdr:colOff>
      <xdr:row>12</xdr:row>
      <xdr:rowOff>47625</xdr:rowOff>
    </xdr:from>
    <xdr:to>
      <xdr:col>12</xdr:col>
      <xdr:colOff>514350</xdr:colOff>
      <xdr:row>13</xdr:row>
      <xdr:rowOff>66675</xdr:rowOff>
    </xdr:to>
    <xdr:sp macro="" textlink="">
      <xdr:nvSpPr>
        <xdr:cNvPr id="44" name="TextBox 43">
          <a:extLst>
            <a:ext uri="{FF2B5EF4-FFF2-40B4-BE49-F238E27FC236}">
              <a16:creationId xmlns:a16="http://schemas.microsoft.com/office/drawing/2014/main" id="{1B6C25A5-31CB-4025-99C1-0F7B066513C3}"/>
            </a:ext>
          </a:extLst>
        </xdr:cNvPr>
        <xdr:cNvSpPr txBox="1"/>
      </xdr:nvSpPr>
      <xdr:spPr>
        <a:xfrm>
          <a:off x="6753225" y="2333625"/>
          <a:ext cx="1076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Carrier</a:t>
          </a:r>
          <a:r>
            <a:rPr lang="en-US" sz="900" baseline="0">
              <a:solidFill>
                <a:schemeClr val="bg1"/>
              </a:solidFill>
              <a:latin typeface="Segoe UI Semibold" panose="020B0702040204020203" pitchFamily="34" charset="0"/>
              <a:cs typeface="Segoe UI Semibold" panose="020B0702040204020203" pitchFamily="34" charset="0"/>
            </a:rPr>
            <a:t> Avg Cost</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228600</xdr:colOff>
      <xdr:row>23</xdr:row>
      <xdr:rowOff>171450</xdr:rowOff>
    </xdr:from>
    <xdr:to>
      <xdr:col>7</xdr:col>
      <xdr:colOff>209550</xdr:colOff>
      <xdr:row>25</xdr:row>
      <xdr:rowOff>19050</xdr:rowOff>
    </xdr:to>
    <xdr:sp macro="" textlink="">
      <xdr:nvSpPr>
        <xdr:cNvPr id="45" name="TextBox 44">
          <a:extLst>
            <a:ext uri="{FF2B5EF4-FFF2-40B4-BE49-F238E27FC236}">
              <a16:creationId xmlns:a16="http://schemas.microsoft.com/office/drawing/2014/main" id="{DB54B0AC-7670-4DF8-8F72-899B9F3F5873}"/>
            </a:ext>
          </a:extLst>
        </xdr:cNvPr>
        <xdr:cNvSpPr txBox="1"/>
      </xdr:nvSpPr>
      <xdr:spPr>
        <a:xfrm>
          <a:off x="3276600" y="4552950"/>
          <a:ext cx="1200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Carrier</a:t>
          </a:r>
          <a:r>
            <a:rPr lang="en-US" sz="900" baseline="0">
              <a:solidFill>
                <a:schemeClr val="bg1"/>
              </a:solidFill>
              <a:latin typeface="Segoe UI Semibold" panose="020B0702040204020203" pitchFamily="34" charset="0"/>
              <a:cs typeface="Segoe UI Semibold" panose="020B0702040204020203" pitchFamily="34" charset="0"/>
            </a:rPr>
            <a:t> Avg Weight</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66675</xdr:colOff>
      <xdr:row>23</xdr:row>
      <xdr:rowOff>152400</xdr:rowOff>
    </xdr:from>
    <xdr:to>
      <xdr:col>13</xdr:col>
      <xdr:colOff>476250</xdr:colOff>
      <xdr:row>25</xdr:row>
      <xdr:rowOff>0</xdr:rowOff>
    </xdr:to>
    <xdr:sp macro="" textlink="">
      <xdr:nvSpPr>
        <xdr:cNvPr id="46" name="TextBox 45">
          <a:extLst>
            <a:ext uri="{FF2B5EF4-FFF2-40B4-BE49-F238E27FC236}">
              <a16:creationId xmlns:a16="http://schemas.microsoft.com/office/drawing/2014/main" id="{56A0FEA3-9E8B-4978-866B-7572E559C11B}"/>
            </a:ext>
          </a:extLst>
        </xdr:cNvPr>
        <xdr:cNvSpPr txBox="1"/>
      </xdr:nvSpPr>
      <xdr:spPr>
        <a:xfrm>
          <a:off x="6772275" y="4533900"/>
          <a:ext cx="16287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Carrier</a:t>
          </a:r>
          <a:r>
            <a:rPr lang="en-US" sz="900" baseline="0">
              <a:solidFill>
                <a:schemeClr val="bg1"/>
              </a:solidFill>
              <a:latin typeface="Segoe UI Semibold" panose="020B0702040204020203" pitchFamily="34" charset="0"/>
              <a:cs typeface="Segoe UI Semibold" panose="020B0702040204020203" pitchFamily="34" charset="0"/>
            </a:rPr>
            <a:t> Avg Delivery Day(s)</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190499</xdr:colOff>
      <xdr:row>18</xdr:row>
      <xdr:rowOff>28574</xdr:rowOff>
    </xdr:from>
    <xdr:to>
      <xdr:col>20</xdr:col>
      <xdr:colOff>371474</xdr:colOff>
      <xdr:row>19</xdr:row>
      <xdr:rowOff>161925</xdr:rowOff>
    </xdr:to>
    <xdr:sp macro="" textlink="">
      <xdr:nvSpPr>
        <xdr:cNvPr id="47" name="TextBox 46">
          <a:extLst>
            <a:ext uri="{FF2B5EF4-FFF2-40B4-BE49-F238E27FC236}">
              <a16:creationId xmlns:a16="http://schemas.microsoft.com/office/drawing/2014/main" id="{F3312892-646A-4411-A2A8-6C6FF29F23CD}"/>
            </a:ext>
          </a:extLst>
        </xdr:cNvPr>
        <xdr:cNvSpPr txBox="1"/>
      </xdr:nvSpPr>
      <xdr:spPr>
        <a:xfrm>
          <a:off x="10553699" y="3457574"/>
          <a:ext cx="200977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Top 7 Destination by Delivery Rate</a:t>
          </a:r>
        </a:p>
      </xdr:txBody>
    </xdr:sp>
    <xdr:clientData/>
  </xdr:twoCellAnchor>
  <xdr:twoCellAnchor>
    <xdr:from>
      <xdr:col>17</xdr:col>
      <xdr:colOff>504823</xdr:colOff>
      <xdr:row>6</xdr:row>
      <xdr:rowOff>19049</xdr:rowOff>
    </xdr:from>
    <xdr:to>
      <xdr:col>19</xdr:col>
      <xdr:colOff>180975</xdr:colOff>
      <xdr:row>7</xdr:row>
      <xdr:rowOff>104775</xdr:rowOff>
    </xdr:to>
    <xdr:sp macro="" textlink="">
      <xdr:nvSpPr>
        <xdr:cNvPr id="48" name="TextBox 47">
          <a:extLst>
            <a:ext uri="{FF2B5EF4-FFF2-40B4-BE49-F238E27FC236}">
              <a16:creationId xmlns:a16="http://schemas.microsoft.com/office/drawing/2014/main" id="{CDC7780C-39AE-4D32-9AB9-BFDFD7E6F696}"/>
            </a:ext>
          </a:extLst>
        </xdr:cNvPr>
        <xdr:cNvSpPr txBox="1"/>
      </xdr:nvSpPr>
      <xdr:spPr>
        <a:xfrm>
          <a:off x="10868023" y="1162049"/>
          <a:ext cx="895352"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Top</a:t>
          </a:r>
          <a:r>
            <a:rPr lang="en-US" sz="900" baseline="0">
              <a:solidFill>
                <a:schemeClr val="bg1"/>
              </a:solidFill>
              <a:latin typeface="Segoe UI Semibold" panose="020B0702040204020203" pitchFamily="34" charset="0"/>
              <a:cs typeface="Segoe UI Semibold" panose="020B0702040204020203" pitchFamily="34" charset="0"/>
            </a:rPr>
            <a:t> Carrier</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285750</xdr:colOff>
      <xdr:row>7</xdr:row>
      <xdr:rowOff>161925</xdr:rowOff>
    </xdr:from>
    <xdr:to>
      <xdr:col>14</xdr:col>
      <xdr:colOff>514350</xdr:colOff>
      <xdr:row>9</xdr:row>
      <xdr:rowOff>9525</xdr:rowOff>
    </xdr:to>
    <xdr:pic>
      <xdr:nvPicPr>
        <xdr:cNvPr id="60" name="Graphic 59">
          <a:extLst>
            <a:ext uri="{FF2B5EF4-FFF2-40B4-BE49-F238E27FC236}">
              <a16:creationId xmlns:a16="http://schemas.microsoft.com/office/drawing/2014/main" id="{E13957CB-82E0-4C3D-96FB-8D08787898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820150" y="1495425"/>
          <a:ext cx="228600" cy="228600"/>
        </a:xfrm>
        <a:prstGeom prst="rect">
          <a:avLst/>
        </a:prstGeom>
      </xdr:spPr>
    </xdr:pic>
    <xdr:clientData/>
  </xdr:twoCellAnchor>
  <xdr:twoCellAnchor editAs="oneCell">
    <xdr:from>
      <xdr:col>12</xdr:col>
      <xdr:colOff>228600</xdr:colOff>
      <xdr:row>7</xdr:row>
      <xdr:rowOff>152400</xdr:rowOff>
    </xdr:from>
    <xdr:to>
      <xdr:col>12</xdr:col>
      <xdr:colOff>457200</xdr:colOff>
      <xdr:row>9</xdr:row>
      <xdr:rowOff>0</xdr:rowOff>
    </xdr:to>
    <xdr:pic>
      <xdr:nvPicPr>
        <xdr:cNvPr id="64" name="Graphic 63">
          <a:extLst>
            <a:ext uri="{FF2B5EF4-FFF2-40B4-BE49-F238E27FC236}">
              <a16:creationId xmlns:a16="http://schemas.microsoft.com/office/drawing/2014/main" id="{C83C538F-4223-48DD-8C1E-B6FF25761F8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543800" y="1485900"/>
          <a:ext cx="228600" cy="228600"/>
        </a:xfrm>
        <a:prstGeom prst="rect">
          <a:avLst/>
        </a:prstGeom>
      </xdr:spPr>
    </xdr:pic>
    <xdr:clientData/>
  </xdr:twoCellAnchor>
  <xdr:twoCellAnchor editAs="oneCell">
    <xdr:from>
      <xdr:col>8</xdr:col>
      <xdr:colOff>28575</xdr:colOff>
      <xdr:row>7</xdr:row>
      <xdr:rowOff>180975</xdr:rowOff>
    </xdr:from>
    <xdr:to>
      <xdr:col>8</xdr:col>
      <xdr:colOff>257175</xdr:colOff>
      <xdr:row>9</xdr:row>
      <xdr:rowOff>28575</xdr:rowOff>
    </xdr:to>
    <xdr:pic>
      <xdr:nvPicPr>
        <xdr:cNvPr id="66" name="Graphic 65">
          <a:extLst>
            <a:ext uri="{FF2B5EF4-FFF2-40B4-BE49-F238E27FC236}">
              <a16:creationId xmlns:a16="http://schemas.microsoft.com/office/drawing/2014/main" id="{066466B1-C42C-45B6-B418-EAA11C3E42E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905375" y="1514475"/>
          <a:ext cx="228600" cy="228600"/>
        </a:xfrm>
        <a:prstGeom prst="rect">
          <a:avLst/>
        </a:prstGeom>
      </xdr:spPr>
    </xdr:pic>
    <xdr:clientData/>
  </xdr:twoCellAnchor>
  <xdr:twoCellAnchor editAs="oneCell">
    <xdr:from>
      <xdr:col>5</xdr:col>
      <xdr:colOff>171450</xdr:colOff>
      <xdr:row>7</xdr:row>
      <xdr:rowOff>171450</xdr:rowOff>
    </xdr:from>
    <xdr:to>
      <xdr:col>5</xdr:col>
      <xdr:colOff>478366</xdr:colOff>
      <xdr:row>9</xdr:row>
      <xdr:rowOff>97366</xdr:rowOff>
    </xdr:to>
    <xdr:pic>
      <xdr:nvPicPr>
        <xdr:cNvPr id="67" name="Graphic 66">
          <a:extLst>
            <a:ext uri="{FF2B5EF4-FFF2-40B4-BE49-F238E27FC236}">
              <a16:creationId xmlns:a16="http://schemas.microsoft.com/office/drawing/2014/main" id="{AC8BDA3E-FE3C-46B7-AC1E-D4F08BC8CD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219450" y="1504950"/>
          <a:ext cx="306916" cy="306916"/>
        </a:xfrm>
        <a:prstGeom prst="rect">
          <a:avLst/>
        </a:prstGeom>
      </xdr:spPr>
    </xdr:pic>
    <xdr:clientData/>
  </xdr:twoCellAnchor>
  <xdr:twoCellAnchor>
    <xdr:from>
      <xdr:col>3</xdr:col>
      <xdr:colOff>104777</xdr:colOff>
      <xdr:row>32</xdr:row>
      <xdr:rowOff>28574</xdr:rowOff>
    </xdr:from>
    <xdr:to>
      <xdr:col>4</xdr:col>
      <xdr:colOff>276227</xdr:colOff>
      <xdr:row>33</xdr:row>
      <xdr:rowOff>104775</xdr:rowOff>
    </xdr:to>
    <xdr:sp macro="" textlink="">
      <xdr:nvSpPr>
        <xdr:cNvPr id="70" name="TextBox 69">
          <a:extLst>
            <a:ext uri="{FF2B5EF4-FFF2-40B4-BE49-F238E27FC236}">
              <a16:creationId xmlns:a16="http://schemas.microsoft.com/office/drawing/2014/main" id="{0254B528-B9EB-49C1-8C75-06791D9EEB47}"/>
            </a:ext>
          </a:extLst>
        </xdr:cNvPr>
        <xdr:cNvSpPr txBox="1"/>
      </xdr:nvSpPr>
      <xdr:spPr>
        <a:xfrm>
          <a:off x="1933577" y="6124574"/>
          <a:ext cx="7810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00" b="0">
            <a:solidFill>
              <a:schemeClr val="bg1"/>
            </a:solidFill>
            <a:latin typeface="Dosis ExtraLight" pitchFamily="2" charset="0"/>
            <a:cs typeface="Segoe UI Semibold" panose="020B0702040204020203" pitchFamily="34" charset="0"/>
          </a:endParaRPr>
        </a:p>
      </xdr:txBody>
    </xdr:sp>
    <xdr:clientData/>
  </xdr:twoCellAnchor>
  <xdr:twoCellAnchor>
    <xdr:from>
      <xdr:col>2</xdr:col>
      <xdr:colOff>600075</xdr:colOff>
      <xdr:row>33</xdr:row>
      <xdr:rowOff>95250</xdr:rowOff>
    </xdr:from>
    <xdr:to>
      <xdr:col>4</xdr:col>
      <xdr:colOff>419100</xdr:colOff>
      <xdr:row>34</xdr:row>
      <xdr:rowOff>152400</xdr:rowOff>
    </xdr:to>
    <xdr:sp macro="" textlink="">
      <xdr:nvSpPr>
        <xdr:cNvPr id="71" name="TextBox 70">
          <a:extLst>
            <a:ext uri="{FF2B5EF4-FFF2-40B4-BE49-F238E27FC236}">
              <a16:creationId xmlns:a16="http://schemas.microsoft.com/office/drawing/2014/main" id="{74777E5E-5123-44AE-9CE4-A0522F4B23B4}"/>
            </a:ext>
          </a:extLst>
        </xdr:cNvPr>
        <xdr:cNvSpPr txBox="1"/>
      </xdr:nvSpPr>
      <xdr:spPr>
        <a:xfrm>
          <a:off x="1819275" y="6381750"/>
          <a:ext cx="1038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3194447" createdVersion="5" refreshedVersion="8" minRefreshableVersion="3" recordCount="0" supportSubquery="1" supportAdvancedDrill="1" xr:uid="{4BA2DE4B-ED38-4314-A5FD-1980F2816944}">
  <cacheSource type="external" connectionId="4"/>
  <cacheFields count="2">
    <cacheField name="[logistics_dataset].[Carrier].[Carrier]" caption="Carrier" numFmtId="0" hierarchy="11" level="1">
      <sharedItems count="1">
        <s v="FedEx"/>
      </sharedItems>
    </cacheField>
    <cacheField name="[Measures].[Avg Cost]" caption="Avg Cost" numFmtId="0" hierarchy="21"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oneField="1">
      <fieldsUsage count="1">
        <fieldUsage x="1"/>
      </fieldsUsage>
    </cacheHierarchy>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3657409" createdVersion="5" refreshedVersion="8" minRefreshableVersion="3" recordCount="0" supportSubquery="1" supportAdvancedDrill="1" xr:uid="{725B3B1D-667F-4CE0-BB15-E65D79DF70C6}">
  <cacheSource type="external" connectionId="4"/>
  <cacheFields count="6">
    <cacheField name="[Measures].[Total Shipment]" caption="Total Shipment" numFmtId="0" hierarchy="18" level="32767"/>
    <cacheField name="[Measures].[Delivery Rate]" caption="Delivery Rate" numFmtId="0" hierarchy="20" level="32767"/>
    <cacheField name="[Measures].[Avg Cost]" caption="Avg Cost" numFmtId="0" hierarchy="21" level="32767"/>
    <cacheField name="[Measures].[Avg Transit Day(s)]" caption="Avg Transit Day(s)" numFmtId="0" hierarchy="22" level="32767"/>
    <cacheField name="[Measures].[Avg Miles Traveled]" caption="Avg Miles Traveled" numFmtId="0" hierarchy="23" level="32767"/>
    <cacheField name="[logistics_dataset].[Carrier].[Carrier]" caption="Carrier" numFmtId="0" hierarchy="11"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5"/>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oneField="1">
      <fieldsUsage count="1">
        <fieldUsage x="0"/>
      </fieldsUsage>
    </cacheHierarchy>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oneField="1">
      <fieldsUsage count="1">
        <fieldUsage x="2"/>
      </fieldsUsage>
    </cacheHierarchy>
    <cacheHierarchy uniqueName="[Measures].[Avg Transit Day(s)]" caption="Avg Transit Day(s)" measure="1" displayFolder="" measureGroup="KPI Measures" count="0" oneField="1">
      <fieldsUsage count="1">
        <fieldUsage x="3"/>
      </fieldsUsage>
    </cacheHierarchy>
    <cacheHierarchy uniqueName="[Measures].[Avg Miles Traveled]" caption="Avg Miles Traveled" measure="1" displayFolder="" measureGroup="KPI Measures" count="0" oneField="1">
      <fieldsUsage count="1">
        <fieldUsage x="4"/>
      </fieldsUsage>
    </cacheHierarchy>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4120371" createdVersion="5" refreshedVersion="8" minRefreshableVersion="3" recordCount="0" supportSubquery="1" supportAdvancedDrill="1" xr:uid="{BB648E0E-9635-43D9-9C21-033B95058D41}">
  <cacheSource type="external" connectionId="4"/>
  <cacheFields count="4">
    <cacheField name="[Measures].[Total Shipment]" caption="Total Shipment" numFmtId="0" hierarchy="18" level="32767"/>
    <cacheField name="[Measures].[Delivery Count]" caption="Delivery Count" numFmtId="0" hierarchy="19" level="32767"/>
    <cacheField name="[Calendar].[Month].[Month]" caption="Month" numFmtId="0" hierarchy="4" level="1">
      <sharedItems count="12">
        <s v="Jan"/>
        <s v="Feb"/>
        <s v="Mar"/>
        <s v="Apr"/>
        <s v="May"/>
        <s v="Jun"/>
        <s v="Jul"/>
        <s v="Aug"/>
        <s v="Sep"/>
        <s v="Oct"/>
        <s v="Nov"/>
        <s v="Dec"/>
      </sharedItems>
    </cacheField>
    <cacheField name="[logistics_dataset].[Carrier].[Carrier]" caption="Carrier" numFmtId="0" hierarchy="11"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3"/>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oneField="1">
      <fieldsUsage count="1">
        <fieldUsage x="0"/>
      </fieldsUsage>
    </cacheHierarchy>
    <cacheHierarchy uniqueName="[Measures].[Delivery Count]" caption="Delivery Count" measure="1" displayFolder="" measureGroup="KPI Measures" count="0" oneField="1">
      <fieldsUsage count="1">
        <fieldUsage x="1"/>
      </fieldsUsage>
    </cacheHierarchy>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4583333" createdVersion="5" refreshedVersion="8" minRefreshableVersion="3" recordCount="0" supportSubquery="1" supportAdvancedDrill="1" xr:uid="{1734E3AC-1065-4294-A3D8-76F4D98763AD}">
  <cacheSource type="external" connectionId="4"/>
  <cacheFields count="2">
    <cacheField name="[logistics_dataset].[Carrier].[Carrier]" caption="Carrier" numFmtId="0" hierarchy="11" level="1">
      <sharedItems count="7">
        <s v="FedEx"/>
        <s v="DHL" u="1"/>
        <s v="Amazon" u="1"/>
        <s v="LaserShip" u="1"/>
        <s v="OnTrac" u="1"/>
        <s v="USPS" u="1"/>
        <s v="UPS" u="1"/>
      </sharedItems>
    </cacheField>
    <cacheField name="[Measures].[Delivery Rate]" caption="Delivery Rate" numFmtId="0" hierarchy="20"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5046295" createdVersion="5" refreshedVersion="8" minRefreshableVersion="3" recordCount="0" supportSubquery="1" supportAdvancedDrill="1" xr:uid="{895B1D1C-E3E9-4617-AD9A-4EE2D45AE2D9}">
  <cacheSource type="external" connectionId="4"/>
  <cacheFields count="2">
    <cacheField name="[logistics_dataset].[Carrier].[Carrier]" caption="Carrier" numFmtId="0" hierarchy="11" level="1">
      <sharedItems count="1">
        <s v="FedEx"/>
      </sharedItems>
    </cacheField>
    <cacheField name="[Measures].[Avg Weight(kg)]" caption="Avg Weight(kg)" numFmtId="0" hierarchy="24"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oneField="1">
      <fieldsUsage count="1">
        <fieldUsage x="1"/>
      </fieldsUsage>
    </cacheHierarchy>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5393518" createdVersion="5" refreshedVersion="8" minRefreshableVersion="3" recordCount="0" supportSubquery="1" supportAdvancedDrill="1" xr:uid="{AF71F498-E11E-4FB8-96D8-FD86A635812F}">
  <cacheSource type="external" connectionId="4"/>
  <cacheFields count="2">
    <cacheField name="[logistics_dataset].[Carrier].[Carrier]" caption="Carrier" numFmtId="0" hierarchy="11" level="1">
      <sharedItems count="1">
        <s v="FedEx"/>
      </sharedItems>
    </cacheField>
    <cacheField name="[Measures].[Avg Transit Day(s)]" caption="Avg Transit Day(s)" numFmtId="0" hierarchy="22" level="32767"/>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oneField="1">
      <fieldsUsage count="1">
        <fieldUsage x="1"/>
      </fieldsUsage>
    </cacheHierarchy>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T" refreshedDate="46241.283566087965" createdVersion="5" refreshedVersion="8" minRefreshableVersion="3" recordCount="0" supportSubquery="1" supportAdvancedDrill="1" xr:uid="{FDE51547-D39D-4B06-A5D3-BD9B93443248}">
  <cacheSource type="external" connectionId="4"/>
  <cacheFields count="3">
    <cacheField name="[logistics_dataset].[Destination].[Destination]" caption="Destination" numFmtId="0" hierarchy="10" level="1">
      <sharedItems count="7">
        <s v="Atlanta"/>
        <s v="Dallas"/>
        <s v="Denver"/>
        <s v="Detroit"/>
        <s v="Miami"/>
        <s v="Phoenix"/>
        <s v="Seattle"/>
      </sharedItems>
    </cacheField>
    <cacheField name="[Measures].[Delivery Rate]" caption="Delivery Rate" numFmtId="0" hierarchy="20" level="32767"/>
    <cacheField name="[logistics_dataset].[Carrier].[Carrier]" caption="Carrier" numFmtId="0" hierarchy="11"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fieldsUsage count="2">
        <fieldUsage x="-1"/>
        <fieldUsage x="0"/>
      </fieldsUsage>
    </cacheHierarchy>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2"/>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6088.586270370368" createdVersion="3" refreshedVersion="7" minRefreshableVersion="3" recordCount="0" supportSubquery="1" supportAdvancedDrill="1" xr:uid="{941A7055-0A23-4075-82F5-10BDAC9A0D80}">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084182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6088.588960300927" createdVersion="3" refreshedVersion="7" minRefreshableVersion="3" recordCount="0" supportSubquery="1" supportAdvancedDrill="1" xr:uid="{99BBC148-AB91-4888-B6DC-C2C9289A1644}">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0"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418457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01951-3E7D-4DDE-8312-ACA379799156}" name="PivotTable4" cacheId="1007" applyNumberFormats="0" applyBorderFormats="0" applyFontFormats="0" applyPatternFormats="0" applyAlignmentFormats="0" applyWidthHeightFormats="1" dataCaption="Values" tag="010dfe9b-a577-4ca8-8aeb-dd0e36a1bf28" updatedVersion="8" minRefreshableVersion="5" useAutoFormatting="1" subtotalHiddenItems="1" rowGrandTotals="0" itemPrintTitles="1" createdVersion="5" indent="0" outline="1" outlineData="1" multipleFieldFilters="0" chartFormat="5">
  <location ref="I7:J8" firstHeaderRow="1" firstDataRow="1" firstDataCol="1"/>
  <pivotFields count="2">
    <pivotField axis="axisRow" allDrilled="1" subtotalTop="0" showAll="0" dataSourceSort="1" defaultSubtotal="0" defaultAttributeDrillState="1">
      <items count="7">
        <item s="1" x="0"/>
        <item x="1"/>
        <item x="2"/>
        <item x="3"/>
        <item x="4"/>
        <item x="5"/>
        <item x="6"/>
      </items>
    </pivotField>
    <pivotField dataField="1" subtotalTop="0" showAll="0" defaultSubtotal="0"/>
  </pivotFields>
  <rowFields count="1">
    <field x="0"/>
  </rowFields>
  <rowItems count="1">
    <i>
      <x/>
    </i>
  </rowItems>
  <colItems count="1">
    <i/>
  </colItems>
  <dataFields count="1">
    <dataField fld="1" subtotal="count" baseField="0" baseItem="0"/>
  </dataFields>
  <chartFormats count="8">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0" count="1" selected="0">
            <x v="2"/>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 chart="4" format="22">
      <pivotArea type="data" outline="0" fieldPosition="0">
        <references count="2">
          <reference field="4294967294" count="1" selected="0">
            <x v="0"/>
          </reference>
          <reference field="0" count="1" selected="0">
            <x v="4"/>
          </reference>
        </references>
      </pivotArea>
    </chartFormat>
    <chartFormat chart="4" format="23">
      <pivotArea type="data" outline="0" fieldPosition="0">
        <references count="2">
          <reference field="4294967294" count="1" selected="0">
            <x v="0"/>
          </reference>
          <reference field="0" count="1" selected="0">
            <x v="6"/>
          </reference>
        </references>
      </pivotArea>
    </chartFormat>
    <chartFormat chart="4" format="24">
      <pivotArea type="data" outline="0" fieldPosition="0">
        <references count="2">
          <reference field="4294967294" count="1" selected="0">
            <x v="0"/>
          </reference>
          <reference field="0" count="1" selected="0">
            <x v="5"/>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4E4B8-E2C3-4B97-9860-7C6E5FB3CFF6}" name="PivotTable3" cacheId="998" applyNumberFormats="0" applyBorderFormats="0" applyFontFormats="0" applyPatternFormats="0" applyAlignmentFormats="0" applyWidthHeightFormats="1" dataCaption="Values" tag="34df16fc-17e2-4367-a1c1-b5488ab87b82" updatedVersion="8" minRefreshableVersion="5" useAutoFormatting="1" subtotalHiddenItems="1" rowGrandTotals="0" itemPrintTitles="1" createdVersion="5" indent="0" outline="1" outlineData="1" multipleFieldFilters="0" chartFormat="4">
  <location ref="F7:G8"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fld="1" subtotal="count"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6CF88-8FF0-48EE-82E8-CF9F60BB8AD8}" name="PivotTable2" cacheId="1004" applyNumberFormats="0" applyBorderFormats="0" applyFontFormats="0" applyPatternFormats="0" applyAlignmentFormats="0" applyWidthHeightFormats="1" dataCaption="Values" tag="35be6a5c-bb48-46f0-86fa-6359e5716973" updatedVersion="8" minRefreshableVersion="5" useAutoFormatting="1" subtotalHiddenItems="1" rowGrandTotals="0" itemPrintTitles="1" createdVersion="5" indent="0" outline="1" outlineData="1" multipleFieldFilters="0" chartFormat="4">
  <location ref="B7:D1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1"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gistics_dataset].[Carrier].&amp;[FedEx]"/>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2E25E-F691-459B-9E81-DDD27CD58340}" name="PivotTable6" cacheId="1013" applyNumberFormats="0" applyBorderFormats="0" applyFontFormats="0" applyPatternFormats="0" applyAlignmentFormats="0" applyWidthHeightFormats="1" dataCaption="Values" tag="228c7525-236e-4490-967b-dba0b885a58d" updatedVersion="8" minRefreshableVersion="5" useAutoFormatting="1" subtotalHiddenItems="1" rowGrandTotals="0" itemPrintTitles="1" createdVersion="5" indent="0" outline="1" outlineData="1" multipleFieldFilters="0" chartFormat="5">
  <location ref="I19:J20"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fld="1" subtotal="count" baseField="0" baseItem="0" numFmtId="165"/>
  </dataFields>
  <formats count="1">
    <format dxfId="1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95D778-33FD-4903-B6FB-9E7333027135}" name="PivotTable1" cacheId="1001" applyNumberFormats="0" applyBorderFormats="0" applyFontFormats="0" applyPatternFormats="0" applyAlignmentFormats="0" applyWidthHeightFormats="1" dataCaption="Values" tag="69368006-7340-480b-a617-33f813e37469" updatedVersion="8" minRefreshableVersion="5" useAutoFormatting="1" subtotalHiddenItems="1" itemPrintTitles="1" createdVersion="5" indent="0" outline="1" outlineData="1" multipleFieldFilters="0">
  <location ref="B2:F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gistics_dataset].[Carrier].&amp;[FedEx]"/>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EBC1D-B7FC-4A5D-9423-2E205D0F3591}" name="PivotTable7" cacheId="1016" applyNumberFormats="0" applyBorderFormats="0" applyFontFormats="0" applyPatternFormats="0" applyAlignmentFormats="0" applyWidthHeightFormats="1" dataCaption="Values" tag="a8d4ad4d-332b-4f77-be4f-cc27aedeb620" updatedVersion="8" minRefreshableVersion="5" useAutoFormatting="1" subtotalHiddenItems="1" rowGrandTotals="0" itemPrintTitles="1" createdVersion="5" indent="0" outline="1" outlineData="1" multipleFieldFilters="0" chartFormat="5">
  <location ref="M7:N14" firstHeaderRow="1" firstDataRow="1" firstDataCol="1"/>
  <pivotFields count="3">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9"/>
  </dataFields>
  <formats count="1">
    <format dxfId="1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gistics_dataset].[Carrier].&amp;[FedEx]"/>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7" filterVal="7"/>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3A9EED-856C-4FF9-BBF3-377BB058F2C3}" name="PivotTable5" cacheId="1010" applyNumberFormats="0" applyBorderFormats="0" applyFontFormats="0" applyPatternFormats="0" applyAlignmentFormats="0" applyWidthHeightFormats="1" dataCaption="Values" tag="bc17ac12-c191-407a-ad8a-6a2a0774ce6c" updatedVersion="8" minRefreshableVersion="5" useAutoFormatting="1" subtotalHiddenItems="1" rowGrandTotals="0" itemPrintTitles="1" createdVersion="5" indent="0" outline="1" outlineData="1" multipleFieldFilters="0" chartFormat="4">
  <location ref="F19:G20"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08B29352-8203-424B-A7A7-BC4F2D719365}" sourceName="[logistics_dataset].[Carrier]">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710841823">
      <levels count="2">
        <level uniqueName="[logistics_dataset].[Carrier].[(All)]" sourceCaption="(All)" count="0"/>
        <level uniqueName="[logistics_dataset].[Carrier].[Carrier]" sourceCaption="Carrier" count="7">
          <ranges>
            <range startItem="0">
              <i n="[logistics_dataset].[Carrier].&amp;[Amazon]" c="Amazon"/>
              <i n="[logistics_dataset].[Carrier].&amp;[DHL]" c="DHL"/>
              <i n="[logistics_dataset].[Carrier].&amp;[FedEx]" c="FedEx"/>
              <i n="[logistics_dataset].[Carrier].&amp;[LaserShip]" c="LaserShip"/>
              <i n="[logistics_dataset].[Carrier].&amp;[OnTrac]" c="OnTrac"/>
              <i n="[logistics_dataset].[Carrier].&amp;[UPS]" c="UPS"/>
              <i n="[logistics_dataset].[Carrier].&amp;[USPS]" c="USPS"/>
            </range>
          </ranges>
        </level>
      </levels>
      <selections count="1">
        <selection n="[logistics_dataset].[Carrier].&amp;[FedEx]"/>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DE12BF27-DA7C-422A-9CB7-2075C71952C5}" cache="Slicer_Carrier" caption="Carrier" columnCount="7" showCaption="0" level="1" style="Slicer Style 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B59041B-0221-4423-A820-9211111A5CA2}" sourceName="[Calendar].[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124184570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CA24FF-A391-4FA3-B897-3A4351626781}" cache="Timeline_Date" caption="Date" level="2" selectionLevel="2" scrollPosition="2023-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D5B4-5996-494F-88DA-B888A0D00DA0}">
  <dimension ref="B1:N20"/>
  <sheetViews>
    <sheetView workbookViewId="0">
      <selection activeCell="AA26" sqref="AA26"/>
    </sheetView>
  </sheetViews>
  <sheetFormatPr defaultRowHeight="14.4" x14ac:dyDescent="0.3"/>
  <cols>
    <col min="2" max="2" width="12.77734375" bestFit="1" customWidth="1"/>
    <col min="3" max="3" width="14.109375" bestFit="1" customWidth="1"/>
    <col min="4" max="4" width="13.88671875" bestFit="1" customWidth="1"/>
    <col min="5" max="5" width="16.33203125" bestFit="1" customWidth="1"/>
    <col min="6" max="6" width="12.77734375" bestFit="1" customWidth="1"/>
    <col min="7" max="7" width="14.44140625" bestFit="1" customWidth="1"/>
    <col min="9" max="9" width="12.77734375" bestFit="1" customWidth="1"/>
    <col min="10" max="10" width="16.33203125" bestFit="1" customWidth="1"/>
    <col min="11" max="11" width="9.109375" style="6"/>
    <col min="13" max="13" width="12.77734375" bestFit="1" customWidth="1"/>
    <col min="14" max="14" width="12.44140625" bestFit="1" customWidth="1"/>
  </cols>
  <sheetData>
    <row r="1" spans="2:14" x14ac:dyDescent="0.3">
      <c r="B1" s="12" t="s">
        <v>7</v>
      </c>
      <c r="C1" s="12"/>
      <c r="D1" s="12"/>
      <c r="E1" s="12"/>
      <c r="F1" s="12"/>
      <c r="G1" s="12"/>
    </row>
    <row r="2" spans="2:14" x14ac:dyDescent="0.3">
      <c r="B2" t="s">
        <v>0</v>
      </c>
      <c r="C2" t="s">
        <v>2</v>
      </c>
      <c r="D2" t="s">
        <v>3</v>
      </c>
      <c r="E2" t="s">
        <v>4</v>
      </c>
      <c r="F2" t="s">
        <v>5</v>
      </c>
    </row>
    <row r="3" spans="2:14" x14ac:dyDescent="0.3">
      <c r="B3" s="1">
        <v>295</v>
      </c>
      <c r="C3" s="3">
        <v>0.82711864406779656</v>
      </c>
      <c r="D3" s="4">
        <v>217.89291525423729</v>
      </c>
      <c r="E3" s="2">
        <v>4.3016949152542372</v>
      </c>
      <c r="F3" s="4">
        <v>1322.2474576271186</v>
      </c>
    </row>
    <row r="4" spans="2:14" x14ac:dyDescent="0.3">
      <c r="B4" s="1">
        <f>GETPIVOTDATA("[Measures].[Total Shipment]",$B$2)</f>
        <v>295</v>
      </c>
      <c r="C4" s="3">
        <f>GETPIVOTDATA("[Measures].[Delivery Rate]",$B$2)</f>
        <v>0.82711864406779656</v>
      </c>
      <c r="D4" s="10">
        <f>GETPIVOTDATA("[Measures].[Avg Cost]",$B$2)</f>
        <v>217.89291525423729</v>
      </c>
      <c r="E4" s="2" t="str">
        <f>ROUND(GETPIVOTDATA("[Measures].[Avg Transit Day(s)]",$B$2), 0) &amp; IF(GETPIVOTDATA("[Measures].[Avg Transit Day(s)]",$B$2) &gt; 1, "Days", "Day")</f>
        <v>4Days</v>
      </c>
      <c r="F4" s="4">
        <f>GETPIVOTDATA("[Measures].[Avg Miles Traveled]",$B$2)</f>
        <v>1322.2474576271186</v>
      </c>
      <c r="G4" s="4"/>
    </row>
    <row r="6" spans="2:14" x14ac:dyDescent="0.3">
      <c r="B6" s="12" t="s">
        <v>8</v>
      </c>
      <c r="C6" s="12"/>
      <c r="D6" s="12"/>
      <c r="F6" s="12" t="s">
        <v>23</v>
      </c>
      <c r="G6" s="12"/>
      <c r="I6" s="12" t="s">
        <v>24</v>
      </c>
      <c r="J6" s="12"/>
      <c r="M6" s="12" t="s">
        <v>27</v>
      </c>
      <c r="N6" s="12"/>
    </row>
    <row r="7" spans="2:14" x14ac:dyDescent="0.3">
      <c r="B7" s="5" t="s">
        <v>9</v>
      </c>
      <c r="C7" t="s">
        <v>0</v>
      </c>
      <c r="D7" t="s">
        <v>1</v>
      </c>
      <c r="F7" s="5" t="s">
        <v>9</v>
      </c>
      <c r="G7" t="s">
        <v>3</v>
      </c>
      <c r="I7" s="5" t="s">
        <v>9</v>
      </c>
      <c r="J7" t="s">
        <v>2</v>
      </c>
      <c r="K7" s="6" t="str">
        <f>_xlfn.XLOOKUP(MAX(J8:J14),J8:J14,I8:I14,0,0,1)</f>
        <v>FedEx</v>
      </c>
      <c r="M7" s="5" t="s">
        <v>9</v>
      </c>
      <c r="N7" t="s">
        <v>2</v>
      </c>
    </row>
    <row r="8" spans="2:14" x14ac:dyDescent="0.3">
      <c r="B8" s="6" t="s">
        <v>10</v>
      </c>
      <c r="C8" s="1">
        <v>22</v>
      </c>
      <c r="D8" s="2">
        <v>19</v>
      </c>
      <c r="F8" s="6" t="s">
        <v>22</v>
      </c>
      <c r="G8" s="10">
        <v>217.89291525423729</v>
      </c>
      <c r="I8" s="6" t="s">
        <v>22</v>
      </c>
      <c r="J8" s="3">
        <v>0.82711864406779656</v>
      </c>
      <c r="K8" s="7">
        <f>MAX(J8:J14)</f>
        <v>0.82711864406779656</v>
      </c>
      <c r="M8" s="6" t="s">
        <v>28</v>
      </c>
      <c r="N8" s="9">
        <v>0.86363636363636365</v>
      </c>
    </row>
    <row r="9" spans="2:14" x14ac:dyDescent="0.3">
      <c r="B9" s="6" t="s">
        <v>11</v>
      </c>
      <c r="C9" s="1">
        <v>15</v>
      </c>
      <c r="D9" s="2">
        <v>13</v>
      </c>
      <c r="M9" s="6" t="s">
        <v>32</v>
      </c>
      <c r="N9" s="9">
        <v>0.8666666666666667</v>
      </c>
    </row>
    <row r="10" spans="2:14" x14ac:dyDescent="0.3">
      <c r="B10" s="6" t="s">
        <v>12</v>
      </c>
      <c r="C10" s="1">
        <v>28</v>
      </c>
      <c r="D10" s="2">
        <v>25</v>
      </c>
      <c r="M10" s="6" t="s">
        <v>29</v>
      </c>
      <c r="N10" s="9">
        <v>0.84375</v>
      </c>
    </row>
    <row r="11" spans="2:14" x14ac:dyDescent="0.3">
      <c r="B11" s="6" t="s">
        <v>13</v>
      </c>
      <c r="C11" s="1">
        <v>16</v>
      </c>
      <c r="D11" s="2">
        <v>12</v>
      </c>
      <c r="M11" s="6" t="s">
        <v>34</v>
      </c>
      <c r="N11" s="9">
        <v>0.875</v>
      </c>
    </row>
    <row r="12" spans="2:14" x14ac:dyDescent="0.3">
      <c r="B12" s="6" t="s">
        <v>14</v>
      </c>
      <c r="C12" s="1">
        <v>34</v>
      </c>
      <c r="D12" s="2">
        <v>29</v>
      </c>
      <c r="M12" s="6" t="s">
        <v>30</v>
      </c>
      <c r="N12" s="9">
        <v>0.90909090909090906</v>
      </c>
    </row>
    <row r="13" spans="2:14" x14ac:dyDescent="0.3">
      <c r="B13" s="6" t="s">
        <v>15</v>
      </c>
      <c r="C13" s="1">
        <v>25</v>
      </c>
      <c r="D13" s="2">
        <v>20</v>
      </c>
      <c r="M13" s="6" t="s">
        <v>31</v>
      </c>
      <c r="N13" s="9">
        <v>1</v>
      </c>
    </row>
    <row r="14" spans="2:14" x14ac:dyDescent="0.3">
      <c r="B14" s="6" t="s">
        <v>16</v>
      </c>
      <c r="C14" s="1">
        <v>22</v>
      </c>
      <c r="D14" s="2">
        <v>18</v>
      </c>
      <c r="M14" s="6" t="s">
        <v>33</v>
      </c>
      <c r="N14" s="9">
        <v>0.93333333333333335</v>
      </c>
    </row>
    <row r="15" spans="2:14" x14ac:dyDescent="0.3">
      <c r="B15" s="6" t="s">
        <v>17</v>
      </c>
      <c r="C15" s="1">
        <v>28</v>
      </c>
      <c r="D15" s="2">
        <v>24</v>
      </c>
    </row>
    <row r="16" spans="2:14" x14ac:dyDescent="0.3">
      <c r="B16" s="6" t="s">
        <v>18</v>
      </c>
      <c r="C16" s="1">
        <v>24</v>
      </c>
      <c r="D16" s="2">
        <v>22</v>
      </c>
    </row>
    <row r="17" spans="2:10" x14ac:dyDescent="0.3">
      <c r="B17" s="6" t="s">
        <v>19</v>
      </c>
      <c r="C17" s="1">
        <v>25</v>
      </c>
      <c r="D17" s="2">
        <v>22</v>
      </c>
    </row>
    <row r="18" spans="2:10" x14ac:dyDescent="0.3">
      <c r="B18" s="6" t="s">
        <v>20</v>
      </c>
      <c r="C18" s="1">
        <v>28</v>
      </c>
      <c r="D18" s="2">
        <v>20</v>
      </c>
      <c r="F18" s="12" t="s">
        <v>25</v>
      </c>
      <c r="G18" s="12"/>
      <c r="I18" s="12" t="s">
        <v>26</v>
      </c>
      <c r="J18" s="12"/>
    </row>
    <row r="19" spans="2:10" x14ac:dyDescent="0.3">
      <c r="B19" s="6" t="s">
        <v>21</v>
      </c>
      <c r="C19" s="1">
        <v>28</v>
      </c>
      <c r="D19" s="2">
        <v>20</v>
      </c>
      <c r="F19" s="5" t="s">
        <v>9</v>
      </c>
      <c r="G19" t="s">
        <v>6</v>
      </c>
      <c r="I19" s="5" t="s">
        <v>9</v>
      </c>
      <c r="J19" t="s">
        <v>4</v>
      </c>
    </row>
    <row r="20" spans="2:10" x14ac:dyDescent="0.3">
      <c r="F20" s="6" t="s">
        <v>22</v>
      </c>
      <c r="G20" s="4">
        <v>46.27457627118644</v>
      </c>
      <c r="I20" s="6" t="s">
        <v>22</v>
      </c>
      <c r="J20" s="8">
        <v>4.3016949152542372</v>
      </c>
    </row>
  </sheetData>
  <mergeCells count="7">
    <mergeCell ref="I6:J6"/>
    <mergeCell ref="F18:G18"/>
    <mergeCell ref="I18:J18"/>
    <mergeCell ref="M6:N6"/>
    <mergeCell ref="B1:G1"/>
    <mergeCell ref="B6:D6"/>
    <mergeCell ref="F6:G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C4E3-EA7A-4BDC-BEDA-CA5CEFE8EB24}">
  <sheetPr>
    <tabColor theme="7" tint="0.39997558519241921"/>
  </sheetPr>
  <dimension ref="A1"/>
  <sheetViews>
    <sheetView showGridLines="0" tabSelected="1" topLeftCell="B1" zoomScale="82" zoomScaleNormal="82" workbookViewId="0">
      <selection activeCell="AB22" sqref="AB22"/>
    </sheetView>
  </sheetViews>
  <sheetFormatPr defaultColWidth="9.109375" defaultRowHeight="14.4" x14ac:dyDescent="0.3"/>
  <cols>
    <col min="1" max="16384" width="9.10937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DB096F6-29F8-4E11-9E96-5138F336CB27}">
  <ds:schemaRefs/>
</ds:datastoreItem>
</file>

<file path=customXml/itemProps2.xml><?xml version="1.0" encoding="utf-8"?>
<ds:datastoreItem xmlns:ds="http://schemas.openxmlformats.org/officeDocument/2006/customXml" ds:itemID="{CEC9FEE2-C3BE-4B32-8732-851FFAF161B1}">
  <ds:schemaRefs/>
</ds:datastoreItem>
</file>

<file path=customXml/itemProps3.xml><?xml version="1.0" encoding="utf-8"?>
<ds:datastoreItem xmlns:ds="http://schemas.openxmlformats.org/officeDocument/2006/customXml" ds:itemID="{325F3E15-D0BD-4434-81D4-2DB63F9B9E5A}">
  <ds:schemaRefs/>
</ds:datastoreItem>
</file>

<file path=customXml/itemProps4.xml><?xml version="1.0" encoding="utf-8"?>
<ds:datastoreItem xmlns:ds="http://schemas.openxmlformats.org/officeDocument/2006/customXml" ds:itemID="{CB5C7740-165D-4BD4-A555-26D397313635}">
  <ds:schemaRefs>
    <ds:schemaRef ds:uri="http://schemas.microsoft.com/DataMashup"/>
  </ds:schemaRefs>
</ds:datastoreItem>
</file>

<file path=customXml/itemProps5.xml><?xml version="1.0" encoding="utf-8"?>
<ds:datastoreItem xmlns:ds="http://schemas.openxmlformats.org/officeDocument/2006/customXml" ds:itemID="{CDE87FCB-A21D-43B3-BC07-E9A8E782EC81}">
  <ds:schemaRefs/>
</ds:datastoreItem>
</file>

<file path=customXml/itemProps6.xml><?xml version="1.0" encoding="utf-8"?>
<ds:datastoreItem xmlns:ds="http://schemas.openxmlformats.org/officeDocument/2006/customXml" ds:itemID="{3A4F05C1-C283-4478-AE00-E19078BCA16A}">
  <ds:schemaRefs/>
</ds:datastoreItem>
</file>

<file path=customXml/itemProps7.xml><?xml version="1.0" encoding="utf-8"?>
<ds:datastoreItem xmlns:ds="http://schemas.openxmlformats.org/officeDocument/2006/customXml" ds:itemID="{9E28979B-F6D3-4A00-BBD0-49FC034C4A3D}">
  <ds:schemaRefs/>
</ds:datastoreItem>
</file>

<file path=customXml/itemProps8.xml><?xml version="1.0" encoding="utf-8"?>
<ds:datastoreItem xmlns:ds="http://schemas.openxmlformats.org/officeDocument/2006/customXml" ds:itemID="{83921EDA-4051-4A96-9943-BEE46A813AB1}">
  <ds:schemaRefs/>
</ds:datastoreItem>
</file>

<file path=customXml/itemProps9.xml><?xml version="1.0" encoding="utf-8"?>
<ds:datastoreItem xmlns:ds="http://schemas.openxmlformats.org/officeDocument/2006/customXml" ds:itemID="{F678E610-9402-4B85-8ED7-C3B23A5E6BF2}">
  <ds:schemaRefs/>
</ds:datastoreItem>
</file>

<file path=customXml/itemProps10.xml><?xml version="1.0" encoding="utf-8"?>
<ds:datastoreItem xmlns:ds="http://schemas.openxmlformats.org/officeDocument/2006/customXml" ds:itemID="{3E3FA272-01F2-4653-817D-6E0F4049111B}">
  <ds:schemaRefs/>
</ds:datastoreItem>
</file>

<file path=customXml/itemProps11.xml><?xml version="1.0" encoding="utf-8"?>
<ds:datastoreItem xmlns:ds="http://schemas.openxmlformats.org/officeDocument/2006/customXml" ds:itemID="{75246DFC-D0AC-48AD-8601-90D141961159}">
  <ds:schemaRefs/>
</ds:datastoreItem>
</file>

<file path=customXml/itemProps12.xml><?xml version="1.0" encoding="utf-8"?>
<ds:datastoreItem xmlns:ds="http://schemas.openxmlformats.org/officeDocument/2006/customXml" ds:itemID="{3D4B8DB2-7C84-49C9-BD91-B1053192E6FE}">
  <ds:schemaRefs/>
</ds:datastoreItem>
</file>

<file path=customXml/itemProps13.xml><?xml version="1.0" encoding="utf-8"?>
<ds:datastoreItem xmlns:ds="http://schemas.openxmlformats.org/officeDocument/2006/customXml" ds:itemID="{F275EF15-2181-449B-B1BB-172D1E558C50}">
  <ds:schemaRefs/>
</ds:datastoreItem>
</file>

<file path=customXml/itemProps14.xml><?xml version="1.0" encoding="utf-8"?>
<ds:datastoreItem xmlns:ds="http://schemas.openxmlformats.org/officeDocument/2006/customXml" ds:itemID="{A19B459D-7AA0-49CB-8B71-1450FAA16815}">
  <ds:schemaRefs/>
</ds:datastoreItem>
</file>

<file path=customXml/itemProps15.xml><?xml version="1.0" encoding="utf-8"?>
<ds:datastoreItem xmlns:ds="http://schemas.openxmlformats.org/officeDocument/2006/customXml" ds:itemID="{CCE509FF-EFBC-4B51-9312-8F40AE938058}">
  <ds:schemaRefs/>
</ds:datastoreItem>
</file>

<file path=customXml/itemProps16.xml><?xml version="1.0" encoding="utf-8"?>
<ds:datastoreItem xmlns:ds="http://schemas.openxmlformats.org/officeDocument/2006/customXml" ds:itemID="{C281BAD6-D3BF-4826-B15D-63D0BEB953F3}">
  <ds:schemaRefs/>
</ds:datastoreItem>
</file>

<file path=customXml/itemProps17.xml><?xml version="1.0" encoding="utf-8"?>
<ds:datastoreItem xmlns:ds="http://schemas.openxmlformats.org/officeDocument/2006/customXml" ds:itemID="{03C5B4B8-4909-43A1-9D4A-F13006339CDC}">
  <ds:schemaRefs/>
</ds:datastoreItem>
</file>

<file path=customXml/itemProps18.xml><?xml version="1.0" encoding="utf-8"?>
<ds:datastoreItem xmlns:ds="http://schemas.openxmlformats.org/officeDocument/2006/customXml" ds:itemID="{F3E6755B-F3CE-4AA4-8721-D0E2D126511A}">
  <ds:schemaRefs/>
</ds:datastoreItem>
</file>

<file path=customXml/itemProps19.xml><?xml version="1.0" encoding="utf-8"?>
<ds:datastoreItem xmlns:ds="http://schemas.openxmlformats.org/officeDocument/2006/customXml" ds:itemID="{81121CE2-6EB7-41B0-8D76-2D88A2C63776}">
  <ds:schemaRefs/>
</ds:datastoreItem>
</file>

<file path=customXml/itemProps20.xml><?xml version="1.0" encoding="utf-8"?>
<ds:datastoreItem xmlns:ds="http://schemas.openxmlformats.org/officeDocument/2006/customXml" ds:itemID="{92825C0A-1547-4B3E-9288-B6EDF5F1A4C0}">
  <ds:schemaRefs/>
</ds:datastoreItem>
</file>

<file path=customXml/itemProps21.xml><?xml version="1.0" encoding="utf-8"?>
<ds:datastoreItem xmlns:ds="http://schemas.openxmlformats.org/officeDocument/2006/customXml" ds:itemID="{05CCE8ED-31D2-4EBD-887A-3395C8C84F33}">
  <ds:schemaRefs/>
</ds:datastoreItem>
</file>

<file path=customXml/itemProps22.xml><?xml version="1.0" encoding="utf-8"?>
<ds:datastoreItem xmlns:ds="http://schemas.openxmlformats.org/officeDocument/2006/customXml" ds:itemID="{AE025611-10C5-49DB-A094-CA3433B7D008}">
  <ds:schemaRefs/>
</ds:datastoreItem>
</file>

<file path=customXml/itemProps23.xml><?xml version="1.0" encoding="utf-8"?>
<ds:datastoreItem xmlns:ds="http://schemas.openxmlformats.org/officeDocument/2006/customXml" ds:itemID="{0ABC96D4-C642-4659-9AC1-8301424A120F}">
  <ds:schemaRefs/>
</ds:datastoreItem>
</file>

<file path=customXml/itemProps24.xml><?xml version="1.0" encoding="utf-8"?>
<ds:datastoreItem xmlns:ds="http://schemas.openxmlformats.org/officeDocument/2006/customXml" ds:itemID="{242E44BD-C85C-4186-B121-BC0C24D6E2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dc:creator>
  <cp:lastModifiedBy>Sushant ekka</cp:lastModifiedBy>
  <dcterms:created xsi:type="dcterms:W3CDTF">2026-03-07T11:38:43Z</dcterms:created>
  <dcterms:modified xsi:type="dcterms:W3CDTF">2026-08-07T01:29:29Z</dcterms:modified>
</cp:coreProperties>
</file>